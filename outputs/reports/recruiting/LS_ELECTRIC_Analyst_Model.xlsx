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1472b3ab1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610ccc2c11f4d31"/>
    <x:sheet xmlns:r="http://schemas.openxmlformats.org/officeDocument/2006/relationships" name="Historical" sheetId="2" r:id="R878f05f68c094b03"/>
    <x:sheet xmlns:r="http://schemas.openxmlformats.org/officeDocument/2006/relationships" name="Forecast" sheetId="3" r:id="Re778cc8ad8814a88"/>
    <x:sheet xmlns:r="http://schemas.openxmlformats.org/officeDocument/2006/relationships" name="Peer Comps" sheetId="4" r:id="R1e9834da3f004184"/>
    <x:sheet xmlns:r="http://schemas.openxmlformats.org/officeDocument/2006/relationships" name="Valuation" sheetId="5" r:id="Rffd996f6a9424431"/>
    <x:sheet xmlns:r="http://schemas.openxmlformats.org/officeDocument/2006/relationships" name="Sensitivity" sheetId="6" r:id="Ra3924f38843b4e1a"/>
    <x:sheet xmlns:r="http://schemas.openxmlformats.org/officeDocument/2006/relationships" name="Checks" sheetId="7" r:id="Rcf2ae7e2a7454498"/>
    <x:sheet xmlns:r="http://schemas.openxmlformats.org/officeDocument/2006/relationships" name="Sources" sheetId="8" r:id="R1ff62cfac212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%"/>
    <x:numFmt numFmtId="202" formatCode="@"/>
    <x:numFmt numFmtId="203" formatCode="0.00"/>
    <x:numFmt numFmtId="204" formatCode="0.0x"/>
    <x:numFmt numFmtId="205" formatCode="0%"/>
    <x:numFmt numFmtId="206" formatCode="0.000"/>
    <x:numFmt numFmtId="207" formatCode="0"/>
  </x:numFmts>
  <x:fonts count="21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143A5A"/>
      <x:name val="Carlito"/>
    </x:font>
    <x:font>
      <x:b/>
      <x:sz val="15"/>
      <x:color rgb="FFFFFFFF"/>
      <x:name val="Arial"/>
    </x:font>
    <x:font>
      <x:sz val="11"/>
      <x:name val="Arial"/>
    </x:font>
    <x:font>
      <x:b/>
      <x:sz val="11"/>
      <x:color rgb="FF143A5A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0"/>
      <x:color rgb="FF143A5A"/>
      <x:name val="Arial"/>
    </x:font>
    <x:font>
      <x:sz val="11"/>
      <x:color rgb="FF0000FF"/>
      <x:name val="Arial"/>
    </x:font>
    <x:font>
      <x:sz val="10"/>
      <x:color rgb="FF0000FF"/>
      <x:name val="Arial"/>
    </x:font>
    <x:font>
      <x:b/>
      <x:sz val="11"/>
      <x:name val="Arial"/>
    </x:font>
    <x:font>
      <x:b/>
      <x:sz val="11"/>
      <x:color rgb="FFFFFFFF"/>
      <x:name val="Arial"/>
    </x:font>
    <x:font>
      <x:sz val="11"/>
      <x:color rgb="FF008000"/>
      <x:name val="Arial"/>
    </x:font>
    <x:font>
      <x:b/>
      <x:sz val="10"/>
      <x:name val="Arial"/>
    </x:font>
    <x:font>
      <x:sz val="10"/>
      <x:color rgb="FF008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43A5A"/>
      </x:patternFill>
    </x:fill>
    <x:fill>
      <x:patternFill patternType="solid">
        <x:fgColor rgb="FFEEF3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8">
    <x:border/>
    <x:border>
      <x:left style="thin">
        <x:color rgb="FFD8DEE6"/>
      </x:left>
      <x:right style="thin">
        <x:color rgb="FFD8DEE6"/>
      </x:right>
      <x:top style="thin">
        <x:color rgb="FFD8DEE6"/>
      </x:top>
    </x:border>
    <x:border>
      <x:left style="thin">
        <x:color rgb="FFD8DEE6"/>
      </x:left>
      <x:right style="thin">
        <x:color rgb="FFD8DEE6"/>
      </x:right>
    </x:border>
    <x:border>
      <x:left style="thin">
        <x:color rgb="FFD8DEE6"/>
      </x:left>
      <x:right style="thin">
        <x:color rgb="FFD8DEE6"/>
      </x:right>
      <x:bottom style="thin">
        <x:color rgb="FFD8DEE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5" fillId="0" borderId="2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200" fontId="0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3" borderId="7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1" fontId="0" fillId="0" borderId="7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200" fontId="5" fillId="0" borderId="7" xfId="0" applyNumberFormat="1" applyFont="1" applyFill="1" applyBorder="1" applyAlignment="1">
      <x:alignment wrapText="1"/>
    </x:xf>
    <x:xf numFmtId="201" fontId="5" fillId="0" borderId="7" xfId="0" applyNumberFormat="1" applyFont="1" applyFill="1" applyBorder="1" applyAlignment="1">
      <x:alignment wrapText="1"/>
    </x:xf>
    <x:xf numFmtId="201" fontId="5" fillId="4" borderId="7" xfId="0" applyNumberFormat="1" applyFont="1" applyFill="1" applyBorder="1" applyAlignment="1">
      <x:alignment wrapText="1"/>
    </x:xf>
    <x:xf numFmtId="200" fontId="0" fillId="4" borderId="7" xfId="0" applyNumberFormat="1" applyFont="1" applyFill="1" applyBorder="1" applyAlignment="1">
      <x:alignment wrapText="1"/>
    </x:xf>
    <x:xf numFmtId="201" fontId="0" fillId="4" borderId="7" xfId="0" applyNumberFormat="1" applyFont="1" applyFill="1" applyBorder="1" applyAlignment="1">
      <x:alignment wrapText="1"/>
    </x:xf>
    <x:xf numFmtId="200" fontId="0" fillId="5" borderId="7" xfId="0" applyNumberFormat="1" applyFont="1" applyFill="1" applyBorder="1" applyAlignment="1">
      <x:alignment wrapText="1"/>
    </x:xf>
    <x:xf numFmtId="201" fontId="5" fillId="5" borderId="7" xfId="0" applyNumberFormat="1" applyFont="1" applyFill="1" applyBorder="1" applyAlignment="1">
      <x:alignment wrapText="1"/>
    </x:xf>
    <x:xf numFmtId="201" fontId="0" fillId="5" borderId="7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7" xfId="0" applyNumberFormat="1" applyFont="1" applyFill="1" applyBorder="1"/>
    <x:xf numFmtId="202" fontId="0" fillId="0" borderId="7" xfId="0" applyNumberFormat="1" applyFont="1" applyFill="1" applyBorder="1" applyAlignment="1">
      <x:alignment wrapText="1"/>
    </x:xf>
    <x:xf numFmtId="203" fontId="0" fillId="0" borderId="7" xfId="0" applyNumberFormat="1" applyFont="1" applyFill="1" applyBorder="1" applyAlignment="1">
      <x:alignment wrapText="1"/>
    </x:xf>
    <x:xf numFmtId="204" fontId="0" fillId="0" borderId="7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0" fontId="6" fillId="0" borderId="7" xfId="0" applyNumberFormat="1" applyFont="1" applyFill="1" applyBorder="1"/>
    <x:xf numFmtId="201" fontId="6" fillId="0" borderId="7" xfId="0" applyNumberFormat="1" applyFont="1" applyFill="1" applyBorder="1"/>
    <x:xf numFmtId="200" fontId="5" fillId="4" borderId="7" xfId="0" applyNumberFormat="1" applyFont="1" applyFill="1" applyBorder="1" applyAlignment="1">
      <x:alignment wrapText="1"/>
    </x:xf>
    <x:xf numFmtId="204" fontId="5" fillId="4" borderId="7" xfId="0" applyNumberFormat="1" applyFont="1" applyFill="1" applyBorder="1" applyAlignment="1">
      <x:alignment wrapText="1"/>
    </x:xf>
    <x:xf numFmtId="205" fontId="0" fillId="0" borderId="7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206" fontId="0" fillId="0" borderId="7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7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3" borderId="7" xfId="0" applyNumberFormat="1" applyFont="1" applyFill="1" applyBorder="1" applyAlignment="1">
      <x:alignment wrapText="1"/>
    </x:xf>
    <x:xf numFmtId="207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9" fillId="0" borderId="7" xfId="0" applyNumberFormat="1" applyFont="1" applyFill="1" applyBorder="1" applyAlignment="1">
      <x:alignment wrapText="1"/>
    </x:xf>
    <x:xf numFmtId="200" fontId="9" fillId="0" borderId="7" xfId="0" applyNumberFormat="1" applyFont="1" applyFill="1" applyBorder="1" applyAlignment="1">
      <x:alignment wrapText="1"/>
    </x:xf>
    <x:xf numFmtId="201" fontId="9" fillId="0" borderId="7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3" fillId="3" borderId="7" xfId="0" applyNumberFormat="1" applyFont="1" applyFill="1" applyBorder="1" applyAlignment="1">
      <x:alignment wrapText="1"/>
    </x:xf>
    <x:xf numFmtId="207" fontId="12" fillId="0" borderId="0" xfId="0" applyNumberFormat="1" applyFont="1" applyFill="1" applyBorder="1"/>
    <x:xf numFmtId="201" fontId="12" fillId="0" borderId="0" xfId="0" applyNumberFormat="1" applyFont="1" applyFill="1" applyBorder="1"/>
    <x:xf numFmtId="0" fontId="12" fillId="0" borderId="7" xfId="0" applyNumberFormat="1" applyFont="1" applyFill="1" applyBorder="1" applyAlignment="1">
      <x:alignment wrapText="1"/>
    </x:xf>
    <x:xf numFmtId="200" fontId="12" fillId="0" borderId="7" xfId="0" applyNumberFormat="1" applyFont="1" applyFill="1" applyBorder="1" applyAlignment="1">
      <x:alignment wrapText="1"/>
    </x:xf>
    <x:xf numFmtId="201" fontId="12" fillId="0" borderId="7" xfId="0" applyNumberFormat="1" applyFont="1" applyFill="1" applyBorder="1" applyAlignment="1">
      <x:alignment wrapText="1"/>
    </x:xf>
    <x:xf numFmtId="200" fontId="9" fillId="5" borderId="7" xfId="0" applyNumberFormat="1" applyFont="1" applyFill="1" applyBorder="1" applyAlignment="1">
      <x:alignment wrapText="1"/>
    </x:xf>
    <x:xf numFmtId="201" fontId="14" fillId="4" borderId="7" xfId="0" applyNumberFormat="1" applyFont="1" applyFill="1" applyBorder="1" applyAlignment="1">
      <x:alignment wrapText="1"/>
    </x:xf>
    <x:xf numFmtId="201" fontId="14" fillId="5" borderId="7" xfId="0" applyNumberFormat="1" applyFont="1" applyFill="1" applyBorder="1" applyAlignment="1">
      <x:alignment wrapText="1"/>
    </x:xf>
    <x:xf numFmtId="201" fontId="9" fillId="5" borderId="7" xfId="0" applyNumberFormat="1" applyFont="1" applyFill="1" applyBorder="1" applyAlignment="1">
      <x:alignment wrapText="1"/>
    </x:xf>
    <x:xf numFmtId="200" fontId="12" fillId="5" borderId="7" xfId="0" applyNumberFormat="1" applyFont="1" applyFill="1" applyBorder="1" applyAlignment="1">
      <x:alignment wrapText="1"/>
    </x:xf>
    <x:xf numFmtId="201" fontId="15" fillId="4" borderId="7" xfId="0" applyNumberFormat="1" applyFont="1" applyFill="1" applyBorder="1" applyAlignment="1">
      <x:alignment wrapText="1"/>
    </x:xf>
    <x:xf numFmtId="201" fontId="15" fillId="5" borderId="7" xfId="0" applyNumberFormat="1" applyFont="1" applyFill="1" applyBorder="1" applyAlignment="1">
      <x:alignment wrapText="1"/>
    </x:xf>
    <x:xf numFmtId="201" fontId="12" fillId="5" borderId="7" xfId="0" applyNumberFormat="1" applyFont="1" applyFill="1" applyBorder="1" applyAlignment="1">
      <x:alignment wrapText="1"/>
    </x:xf>
    <x:xf numFmtId="202" fontId="9" fillId="0" borderId="7" xfId="0" applyNumberFormat="1" applyFont="1" applyFill="1" applyBorder="1" applyAlignment="1">
      <x:alignment wrapText="1"/>
    </x:xf>
    <x:xf numFmtId="203" fontId="9" fillId="0" borderId="7" xfId="0" applyNumberFormat="1" applyFont="1" applyFill="1" applyBorder="1" applyAlignment="1">
      <x:alignment wrapText="1"/>
    </x:xf>
    <x:xf numFmtId="204" fontId="9" fillId="0" borderId="7" xfId="0" applyNumberFormat="1" applyFont="1" applyFill="1" applyBorder="1" applyAlignment="1">
      <x:alignment wrapText="1"/>
    </x:xf>
    <x:xf numFmtId="204" fontId="9" fillId="0" borderId="0" xfId="0" applyNumberFormat="1" applyFont="1" applyFill="1" applyBorder="1"/>
    <x:xf numFmtId="202" fontId="12" fillId="0" borderId="7" xfId="0" applyNumberFormat="1" applyFont="1" applyFill="1" applyBorder="1" applyAlignment="1">
      <x:alignment wrapText="1"/>
    </x:xf>
    <x:xf numFmtId="203" fontId="12" fillId="0" borderId="7" xfId="0" applyNumberFormat="1" applyFont="1" applyFill="1" applyBorder="1" applyAlignment="1">
      <x:alignment wrapText="1"/>
    </x:xf>
    <x:xf numFmtId="204" fontId="12" fillId="0" borderId="7" xfId="0" applyNumberFormat="1" applyFont="1" applyFill="1" applyBorder="1" applyAlignment="1">
      <x:alignment wrapText="1"/>
    </x:xf>
    <x:xf numFmtId="204" fontId="12" fillId="0" borderId="0" xfId="0" applyNumberFormat="1" applyFont="1" applyFill="1" applyBorder="1"/>
    <x:xf numFmtId="204" fontId="14" fillId="4" borderId="7" xfId="0" applyNumberFormat="1" applyFont="1" applyFill="1" applyBorder="1" applyAlignment="1">
      <x:alignment wrapText="1"/>
    </x:xf>
    <x:xf numFmtId="200" fontId="14" fillId="4" borderId="7" xfId="0" applyNumberFormat="1" applyFont="1" applyFill="1" applyBorder="1" applyAlignment="1">
      <x:alignment wrapText="1"/>
    </x:xf>
    <x:xf numFmtId="0" fontId="16" fillId="6" borderId="7" xfId="0" applyNumberFormat="1" applyFont="1" applyFill="1" applyBorder="1" applyAlignment="1">
      <x:alignment wrapText="1"/>
    </x:xf>
    <x:xf numFmtId="0" fontId="17" fillId="2" borderId="0" xfId="0" applyNumberFormat="1" applyFont="1" applyFill="1" applyBorder="1"/>
    <x:xf numFmtId="0" fontId="9" fillId="0" borderId="7" xfId="0" applyNumberFormat="1" applyFont="1" applyFill="1" applyBorder="1"/>
    <x:xf numFmtId="200" fontId="9" fillId="0" borderId="7" xfId="0" applyNumberFormat="1" applyFont="1" applyFill="1" applyBorder="1"/>
    <x:xf numFmtId="200" fontId="18" fillId="0" borderId="7" xfId="0" applyNumberFormat="1" applyFont="1" applyFill="1" applyBorder="1"/>
    <x:xf numFmtId="201" fontId="18" fillId="0" borderId="7" xfId="0" applyNumberFormat="1" applyFont="1" applyFill="1" applyBorder="1"/>
    <x:xf numFmtId="204" fontId="15" fillId="4" borderId="7" xfId="0" applyNumberFormat="1" applyFont="1" applyFill="1" applyBorder="1" applyAlignment="1">
      <x:alignment wrapText="1"/>
    </x:xf>
    <x:xf numFmtId="200" fontId="15" fillId="4" borderId="7" xfId="0" applyNumberFormat="1" applyFont="1" applyFill="1" applyBorder="1" applyAlignment="1">
      <x:alignment wrapText="1"/>
    </x:xf>
    <x:xf numFmtId="0" fontId="19" fillId="6" borderId="7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2" fillId="0" borderId="7" xfId="0" applyNumberFormat="1" applyFont="1" applyFill="1" applyBorder="1"/>
    <x:xf numFmtId="200" fontId="12" fillId="0" borderId="7" xfId="0" applyNumberFormat="1" applyFont="1" applyFill="1" applyBorder="1"/>
    <x:xf numFmtId="200" fontId="20" fillId="0" borderId="7" xfId="0" applyNumberFormat="1" applyFont="1" applyFill="1" applyBorder="1"/>
    <x:xf numFmtId="201" fontId="20" fillId="0" borderId="7" xfId="0" applyNumberFormat="1" applyFont="1" applyFill="1" applyBorder="1"/>
    <x:xf numFmtId="205" fontId="9" fillId="0" borderId="7" xfId="0" applyNumberFormat="1" applyFont="1" applyFill="1" applyBorder="1" applyAlignment="1">
      <x:alignment wrapText="1"/>
    </x:xf>
    <x:xf numFmtId="205" fontId="12" fillId="0" borderId="7" xfId="0" applyNumberFormat="1" applyFont="1" applyFill="1" applyBorder="1" applyAlignment="1">
      <x:alignment wrapText="1"/>
    </x:xf>
    <x:xf numFmtId="0" fontId="9" fillId="7" borderId="7" xfId="0" applyNumberFormat="1" applyFont="1" applyFill="1" applyBorder="1" applyAlignment="1">
      <x:alignment wrapText="1"/>
    </x:xf>
    <x:xf numFmtId="0" fontId="12" fillId="7" borderId="7" xfId="0" applyNumberFormat="1" applyFont="1" applyFill="1" applyBorder="1" applyAlignment="1">
      <x:alignment wrapText="1"/>
    </x:xf>
    <x:xf numFmtId="206" fontId="9" fillId="0" borderId="7" xfId="0" applyNumberFormat="1" applyFont="1" applyFill="1" applyBorder="1" applyAlignment="1">
      <x:alignment wrapText="1"/>
    </x:xf>
    <x:xf numFmtId="206" fontId="12" fillId="0" borderId="7" xfId="0" applyNumberFormat="1" applyFont="1" applyFill="1" applyBorder="1" applyAlignment="1">
      <x:alignment wrapText="1"/>
    </x:xf>
    <x:xf numFmtId="0" fontId="16" fillId="3" borderId="0" xfId="0" applyNumberFormat="1" applyFont="1" applyFill="1" applyBorder="1"/>
    <x:xf numFmtId="0" fontId="9" fillId="0" borderId="1" xfId="0" applyNumberFormat="1" applyFont="1" applyFill="1" applyBorder="1"/>
    <x:xf numFmtId="0" fontId="17" fillId="2" borderId="4" xfId="0" applyNumberFormat="1" applyFont="1" applyFill="1" applyBorder="1"/>
    <x:xf numFmtId="0" fontId="17" fillId="2" borderId="5" xfId="0" applyNumberFormat="1" applyFont="1" applyFill="1" applyBorder="1"/>
    <x:xf numFmtId="0" fontId="17" fillId="2" borderId="6" xfId="0" applyNumberFormat="1" applyFont="1" applyFill="1" applyBorder="1"/>
    <x:xf numFmtId="0" fontId="14" fillId="0" borderId="2" xfId="0" applyNumberFormat="1" applyFont="1" applyFill="1" applyBorder="1"/>
    <x:xf numFmtId="0" fontId="9" fillId="0" borderId="2" xfId="0" applyNumberFormat="1" applyFont="1" applyFill="1" applyBorder="1"/>
    <x:xf numFmtId="200" fontId="9" fillId="0" borderId="2" xfId="0" applyNumberFormat="1" applyFont="1" applyFill="1" applyBorder="1"/>
    <x:xf numFmtId="0" fontId="18" fillId="0" borderId="2" xfId="0" applyNumberFormat="1" applyFont="1" applyFill="1" applyBorder="1"/>
    <x:xf numFmtId="200" fontId="18" fillId="0" borderId="2" xfId="0" applyNumberFormat="1" applyFont="1" applyFill="1" applyBorder="1"/>
    <x:xf numFmtId="201" fontId="18" fillId="0" borderId="3" xfId="0" applyNumberFormat="1" applyFont="1" applyFill="1" applyBorder="1"/>
    <x:xf numFmtId="0" fontId="19" fillId="3" borderId="0" xfId="0" applyNumberFormat="1" applyFont="1" applyFill="1" applyBorder="1"/>
    <x:xf numFmtId="0" fontId="12" fillId="0" borderId="1" xfId="0" applyNumberFormat="1" applyFont="1" applyFill="1" applyBorder="1"/>
    <x:xf numFmtId="0" fontId="11" fillId="2" borderId="4" xfId="0" applyNumberFormat="1" applyFont="1" applyFill="1" applyBorder="1"/>
    <x:xf numFmtId="0" fontId="11" fillId="2" borderId="5" xfId="0" applyNumberFormat="1" applyFont="1" applyFill="1" applyBorder="1"/>
    <x:xf numFmtId="0" fontId="11" fillId="2" borderId="6" xfId="0" applyNumberFormat="1" applyFont="1" applyFill="1" applyBorder="1"/>
    <x:xf numFmtId="0" fontId="15" fillId="0" borderId="2" xfId="0" applyNumberFormat="1" applyFont="1" applyFill="1" applyBorder="1"/>
    <x:xf numFmtId="0" fontId="12" fillId="0" borderId="2" xfId="0" applyNumberFormat="1" applyFont="1" applyFill="1" applyBorder="1"/>
    <x:xf numFmtId="200" fontId="12" fillId="0" borderId="2" xfId="0" applyNumberFormat="1" applyFont="1" applyFill="1" applyBorder="1"/>
    <x:xf numFmtId="0" fontId="20" fillId="0" borderId="2" xfId="0" applyNumberFormat="1" applyFont="1" applyFill="1" applyBorder="1"/>
    <x:xf numFmtId="200" fontId="20" fillId="0" borderId="2" xfId="0" applyNumberFormat="1" applyFont="1" applyFill="1" applyBorder="1"/>
    <x:xf numFmtId="201" fontId="2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bdc3baec01408d" /><Relationship Type="http://schemas.openxmlformats.org/officeDocument/2006/relationships/theme" Target="/xl/theme/theme1.xml" Id="R44a10fca2c55438f" /><Relationship Type="http://schemas.openxmlformats.org/officeDocument/2006/relationships/sharedStrings" Target="/xl/sharedStrings.xml" Id="Re6771833ef99493c" /><Relationship Type="http://schemas.openxmlformats.org/officeDocument/2006/relationships/worksheet" Target="/xl/worksheets/sheet1.xml" Id="R9610ccc2c11f4d31" /><Relationship Type="http://schemas.openxmlformats.org/officeDocument/2006/relationships/worksheet" Target="/xl/worksheets/sheet2.xml" Id="R878f05f68c094b03" /><Relationship Type="http://schemas.openxmlformats.org/officeDocument/2006/relationships/worksheet" Target="/xl/worksheets/sheet3.xml" Id="Re778cc8ad8814a88" /><Relationship Type="http://schemas.openxmlformats.org/officeDocument/2006/relationships/worksheet" Target="/xl/worksheets/sheet4.xml" Id="R1e9834da3f004184" /><Relationship Type="http://schemas.openxmlformats.org/officeDocument/2006/relationships/worksheet" Target="/xl/worksheets/sheet5.xml" Id="Rffd996f6a9424431" /><Relationship Type="http://schemas.openxmlformats.org/officeDocument/2006/relationships/worksheet" Target="/xl/worksheets/sheet6.xml" Id="Ra3924f38843b4e1a" /><Relationship Type="http://schemas.openxmlformats.org/officeDocument/2006/relationships/worksheet" Target="/xl/worksheets/sheet7.xml" Id="Rcf2ae7e2a7454498" /><Relationship Type="http://schemas.openxmlformats.org/officeDocument/2006/relationships/worksheet" Target="/xl/worksheets/sheet8.xml" Id="R1ff62cfac21241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aba53858c5f4ad9" /><Relationship Type="http://schemas.openxmlformats.org/officeDocument/2006/relationships/chart" Target="/xl/drawings/charts/chart2.xml" Id="Ra852693ed8084b9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4e63e33e33848e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1f919ac9225b427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and Profit Trend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Revenue</c:v>
          </c:tx>
          <c:marker>
            <c:symbol val="none"/>
          </c:marker>
          <c:dLbls/>
          <c:cat>
            <c:strRef>
              <c:f>'Historical'!$A$5:$A$12</c:f>
              <c:strCache>
                <c:ptCount val="0"/>
              </c:strCache>
            </c:strRef>
          </c:cat>
          <c:val>
            <c:numRef>
              <c:f>'Historical'!$B$5:$B$12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Operating Income</c:v>
          </c:tx>
          <c:marker>
            <c:symbol val="none"/>
          </c:marker>
          <c:dLbls/>
          <c:cat>
            <c:strRef>
              <c:f>'Historical'!$A$5:$A$12</c:f>
              <c:strCache>
                <c:ptCount val="0"/>
              </c:strCache>
            </c:strRef>
          </c:cat>
          <c:val>
            <c:numRef>
              <c:f>'Historical'!$C$5:$C$12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 Income</c:v>
          </c:tx>
          <c:marker>
            <c:symbol val="none"/>
          </c:marker>
          <c:dLbls/>
          <c:cat>
            <c:strRef>
              <c:f>'Historical'!$A$5:$A$12</c:f>
              <c:strCache>
                <c:ptCount val="0"/>
              </c:strCache>
            </c:strRef>
          </c:cat>
          <c:val>
            <c:numRef>
              <c:f>'Historical'!$D$5:$D$12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Growth, Margin and ROE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Sales Growth</c:v>
          </c:tx>
          <c:marker>
            <c:symbol val="none"/>
          </c:marker>
          <c:dLbls/>
          <c:cat>
            <c:strRef>
              <c:f>'Historical'!$W$5:$W$12</c:f>
              <c:strCache>
                <c:ptCount val="0"/>
              </c:strCache>
            </c:strRef>
          </c:cat>
          <c:val>
            <c:numRef>
              <c:f>'Historical'!$X$5:$X$12</c:f>
              <c:numCache>
                <c:formatCode>0.0%</c:formatCode>
                <c:ptCount val="0"/>
              </c:numCache>
            </c:numRef>
          </c:val>
          <c:smooth val="0"/>
        </c:ser>
        <c:ser>
          <c:idx val="1"/>
          <c:order val="1"/>
          <c:tx>
            <c:v>OPM</c:v>
          </c:tx>
          <c:marker>
            <c:symbol val="none"/>
          </c:marker>
          <c:dLbls/>
          <c:cat>
            <c:strRef>
              <c:f>'Historical'!$W$5:$W$12</c:f>
              <c:strCache>
                <c:ptCount val="0"/>
              </c:strCache>
            </c:strRef>
          </c:cat>
          <c:val>
            <c:numRef>
              <c:f>'Historical'!$Y$5:$Y$12</c:f>
              <c:numCache>
                <c:formatCode>0.0%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 Margin</c:v>
          </c:tx>
          <c:marker>
            <c:symbol val="none"/>
          </c:marker>
          <c:dLbls/>
          <c:cat>
            <c:strRef>
              <c:f>'Historical'!$W$5:$W$12</c:f>
              <c:strCache>
                <c:ptCount val="0"/>
              </c:strCache>
            </c:strRef>
          </c:cat>
          <c:val>
            <c:numRef>
              <c:f>'Historical'!$Z$5:$Z$12</c:f>
              <c:numCache>
                <c:formatCode>0.0%</c:formatCode>
                <c:ptCount val="0"/>
              </c:numCache>
            </c:numRef>
          </c:val>
          <c:smooth val="0"/>
        </c:ser>
        <c:ser>
          <c:idx val="3"/>
          <c:order val="3"/>
          <c:tx>
            <c:v>ROE</c:v>
          </c:tx>
          <c:marker>
            <c:symbol val="none"/>
          </c:marker>
          <c:dLbls/>
          <c:cat>
            <c:strRef>
              <c:f>'Historical'!$W$5:$W$12</c:f>
              <c:strCache>
                <c:ptCount val="0"/>
              </c:strCache>
            </c:strRef>
          </c:cat>
          <c:val>
            <c:numRef>
              <c:f>'Historical'!$AA$5:$AA$12</c:f>
              <c:numCache>
                <c:formatCode>0.0%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Peer PER Comparison</a:t>
            </a:r>
          </a:p>
        </c:rich>
      </c:tx>
      <c:overlay val="0"/>
    </c:title>
    <c:autoTitleDeleted val="0"/>
    <c:plotArea>
      <c:barChart>
        <c:barDir val="col"/>
        <c:varyColors val="0"/>
        <c:ser>
          <c:idx val="0"/>
          <c:order val="0"/>
          <c:tx>
            <c:v>PER</c:v>
          </c:tx>
          <c:dLbls/>
          <c:cat>
            <c:strRef>
              <c:f>'Peer Comps'!$M$25:$M$28</c:f>
              <c:strCache>
                <c:ptCount val="0"/>
              </c:strCache>
            </c:strRef>
          </c:cat>
          <c:val>
            <c:numRef>
              <c:f>'Peer Comps'!$N$25:$N$28</c:f>
              <c:numCache>
                <c:formatCode>0.0x</c:formatCode>
                <c:ptCount val="0"/>
              </c:numCache>
            </c:numRef>
          </c:val>
        </c:ser>
        <c:dLbls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x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Sensitivity Output by EPS Case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dLbls/>
          <c:cat>
            <c:strRef>
              <c:f>'Sensitivity'!$A$4:$A$9</c:f>
              <c:strCache>
                <c:ptCount val="0"/>
              </c:strCache>
            </c:strRef>
          </c:cat>
          <c:val>
            <c:numRef>
              <c:f>'Sensitivity'!$B$4:$B$9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Series 2</c:v>
          </c:tx>
          <c:marker>
            <c:symbol val="none"/>
          </c:marker>
          <c:dLbls/>
          <c:cat>
            <c:strRef>
              <c:f>'Sensitivity'!$A$4:$A$9</c:f>
              <c:strCache>
                <c:ptCount val="0"/>
              </c:strCache>
            </c:strRef>
          </c:cat>
          <c:val>
            <c:numRef>
              <c:f>'Sensitivity'!$C$4:$C$9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Series 3</c:v>
          </c:tx>
          <c:marker>
            <c:symbol val="none"/>
          </c:marker>
          <c:dLbls/>
          <c:cat>
            <c:strRef>
              <c:f>'Sensitivity'!$A$4:$A$9</c:f>
              <c:strCache>
                <c:ptCount val="0"/>
              </c:strCache>
            </c:strRef>
          </c:cat>
          <c:val>
            <c:numRef>
              <c:f>'Sensitivity'!$D$4:$D$9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Series 4</c:v>
          </c:tx>
          <c:marker>
            <c:symbol val="none"/>
          </c:marker>
          <c:dLbls/>
          <c:cat>
            <c:strRef>
              <c:f>'Sensitivity'!$A$4:$A$9</c:f>
              <c:strCache>
                <c:ptCount val="0"/>
              </c:strCache>
            </c:strRef>
          </c:cat>
          <c:val>
            <c:numRef>
              <c:f>'Sensitivity'!$E$4:$E$9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Series 5</c:v>
          </c:tx>
          <c:marker>
            <c:symbol val="none"/>
          </c:marker>
          <c:dLbls/>
          <c:cat>
            <c:strRef>
              <c:f>'Sensitivity'!$A$4:$A$9</c:f>
              <c:strCache>
                <c:ptCount val="0"/>
              </c:strCache>
            </c:strRef>
          </c:cat>
          <c:val>
            <c:numRef>
              <c:f>'Sensitivity'!$F$4:$F$9</c:f>
              <c:numCache>
                <c:formatCode>#,##0</c:formatCode>
                <c:ptCount val="0"/>
              </c:numCache>
            </c:numRef>
          </c:val>
          <c:smooth val="0"/>
        </c:ser>
        <c:dLbls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3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aba53858c5f4ad9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21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52693ed8084b9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e63e33e33848e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919ac9225b427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2ca489caaab43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ac1487f715ac4e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65903d2b587c40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</x:cols>
  <x:sheetData>
    <x:row r="1">
      <x:c r="A1" s="65" t="str">
        <x:v>LS ELECTRIC Analyst Model | Equity Research Support Workbook</x:v>
      </x:c>
      <x:c r="B1" s="65" t="str">
        <x:v>LS ELECTRIC Analyst Model | Equity Research Support Workbook</x:v>
      </x:c>
      <x:c r="C1" s="65" t="str">
        <x:v>LS ELECTRIC Analyst Model | Equity Research Support Workbook</x:v>
      </x:c>
      <x:c r="D1" s="65" t="str">
        <x:v>LS ELECTRIC Analyst Model | Equity Research Support Workbook</x:v>
      </x:c>
      <x:c r="E1" s="65" t="str">
        <x:v>LS ELECTRIC Analyst Model | Equity Research Support Workbook</x:v>
      </x:c>
      <x:c r="F1" s="65" t="str">
        <x:v>LS ELECTRIC Analyst Model | Equity Research Support Workbook</x:v>
      </x:c>
      <x:c r="G1" s="65" t="str">
        <x:v>LS ELECTRIC Analyst Model | Equity Research Support Workbook</x:v>
      </x:c>
      <x:c r="H1" s="65" t="str">
        <x:v>LS ELECTRIC Analyst Model | Equity Research Support Workbook</x:v>
      </x:c>
    </x:row>
    <x:row r="2">
      <x:c r="A2" s="65" t="str">
        <x:v>LS ELECTRIC Analyst Model | Equity Research Support Workbook</x:v>
      </x:c>
      <x:c r="B2" s="65" t="str">
        <x:v>LS ELECTRIC Analyst Model | Equity Research Support Workbook</x:v>
      </x:c>
      <x:c r="C2" s="65" t="str">
        <x:v>LS ELECTRIC Analyst Model | Equity Research Support Workbook</x:v>
      </x:c>
      <x:c r="D2" s="65" t="str">
        <x:v>LS ELECTRIC Analyst Model | Equity Research Support Workbook</x:v>
      </x:c>
      <x:c r="E2" s="65" t="str">
        <x:v>LS ELECTRIC Analyst Model | Equity Research Support Workbook</x:v>
      </x:c>
      <x:c r="F2" s="65" t="str">
        <x:v>LS ELECTRIC Analyst Model | Equity Research Support Workbook</x:v>
      </x:c>
      <x:c r="G2" s="65" t="str">
        <x:v>LS ELECTRIC Analyst Model | Equity Research Support Workbook</x:v>
      </x:c>
      <x:c r="H2" s="65" t="str">
        <x:v>LS ELECTRIC Analyst Model | Equity Research Support Workbook</x:v>
      </x:c>
    </x:row>
    <x:row r="3">
      <x:c r="A3" s="66"/>
      <x:c r="B3" s="66"/>
      <x:c r="C3" s="66"/>
      <x:c r="D3" s="66"/>
      <x:c r="E3" s="66"/>
      <x:c r="F3" s="66"/>
      <x:c r="G3" s="66"/>
      <x:c r="H3" s="66"/>
    </x:row>
    <x:row r="4">
      <x:c r="A4" s="122" t="str">
        <x:v>Company</x:v>
      </x:c>
      <x:c r="B4" s="123" t="str">
        <x:v>LS ELECTRIC</x:v>
      </x:c>
      <x:c r="C4" s="66"/>
      <x:c r="D4" s="124" t="str">
        <x:v>Analyst workflow reflected in this workbook</x:v>
      </x:c>
      <x:c r="E4" s="125" t="str">
        <x:v>Analyst workflow reflected in this workbook</x:v>
      </x:c>
      <x:c r="F4" s="125" t="str">
        <x:v>Analyst workflow reflected in this workbook</x:v>
      </x:c>
      <x:c r="G4" s="125" t="str">
        <x:v>Analyst workflow reflected in this workbook</x:v>
      </x:c>
      <x:c r="H4" s="126" t="str">
        <x:v>Analyst workflow reflected in this workbook</x:v>
      </x:c>
    </x:row>
    <x:row r="5">
      <x:c r="A5" s="122" t="str">
        <x:v>Ticker</x:v>
      </x:c>
      <x:c r="B5" s="127" t="str">
        <x:v>010120</x:v>
      </x:c>
      <x:c r="C5" s="66"/>
      <x:c r="D5" s="70" t="str">
        <x:v>1. Raw Data</x:v>
      </x:c>
      <x:c r="E5" s="70" t="str">
        <x:v>OpenDART consolidated accounts, TS2000 financials and KIS API prices are imported.</x:v>
      </x:c>
      <x:c r="F5" s="70"/>
      <x:c r="G5" s="70"/>
      <x:c r="H5" s="70"/>
    </x:row>
    <x:row r="6">
      <x:c r="A6" s="122" t="str">
        <x:v>Valuation Date</x:v>
      </x:c>
      <x:c r="B6" s="128" t="str">
        <x:v>2026-06-30</x:v>
      </x:c>
      <x:c r="C6" s="66"/>
      <x:c r="D6" s="70" t="str">
        <x:v>2. Forecast</x:v>
      </x:c>
      <x:c r="E6" s="70" t="str">
        <x:v>Revenue growth, OPM, net margin, payout and COE assumptions are separated as editable inputs.</x:v>
      </x:c>
      <x:c r="F6" s="70"/>
      <x:c r="G6" s="70"/>
      <x:c r="H6" s="70"/>
    </x:row>
    <x:row r="7">
      <x:c r="A7" s="122" t="str">
        <x:v>Current Price</x:v>
      </x:c>
      <x:c r="B7" s="129" t="n">
        <x:v>238000</x:v>
      </x:c>
      <x:c r="C7" s="66"/>
      <x:c r="D7" s="70" t="str">
        <x:v>3. Valuation</x:v>
      </x:c>
      <x:c r="E7" s="70" t="str">
        <x:v>PER, PBR and FCFE proxy DCF are triangulated rather than relying on one shortcut.</x:v>
      </x:c>
      <x:c r="F7" s="70"/>
      <x:c r="G7" s="70"/>
      <x:c r="H7" s="70"/>
    </x:row>
    <x:row r="8">
      <x:c r="A8" s="122" t="str">
        <x:v>Rating</x:v>
      </x:c>
      <x:c r="B8" s="129" t="str">
        <x:v>BUY</x:v>
      </x:c>
      <x:c r="C8" s="66"/>
      <x:c r="D8" s="70" t="str">
        <x:v>4. Sensitivity</x:v>
      </x:c>
      <x:c r="E8" s="70" t="str">
        <x:v>Target PER and 2026E EPS assumptions are varied to check downside/upside ranges.</x:v>
      </x:c>
      <x:c r="F8" s="70"/>
      <x:c r="G8" s="70"/>
      <x:c r="H8" s="70"/>
    </x:row>
    <x:row r="9">
      <x:c r="A9" s="122" t="str">
        <x:v>Target Price</x:v>
      </x:c>
      <x:c r="B9" s="130" t="n">
        <x:f>'Valuation'!F14</x:f>
        <x:v>380000</x:v>
      </x:c>
      <x:c r="C9" s="66"/>
      <x:c r="D9" s="70" t="str">
        <x:v>5. Checks</x:v>
      </x:c>
      <x:c r="E9" s="70" t="str">
        <x:v>Formula integrity, target tie-out and source completeness are surfaced before report writing.</x:v>
      </x:c>
      <x:c r="F9" s="70"/>
      <x:c r="G9" s="70"/>
      <x:c r="H9" s="70"/>
    </x:row>
    <x:row r="10">
      <x:c r="A10" s="122" t="str">
        <x:v>Upside</x:v>
      </x:c>
      <x:c r="B10" s="131" t="n">
        <x:f>'Valuation'!F15</x:f>
        <x:v>0.596638655462185</x:v>
      </x:c>
      <x:c r="C10" s="66"/>
      <x:c r="D10" s="70" t="str">
        <x:v>Color legend</x:v>
      </x:c>
      <x:c r="E10" s="70" t="str">
        <x:v>Blue font = editable assumption, Green font = linked output, Black font = formula/source.</x:v>
      </x:c>
      <x:c r="F10" s="70"/>
      <x:c r="G10" s="70"/>
      <x:c r="H10" s="70"/>
    </x:row>
    <x:row r="11">
      <x:c r="A11" s="122" t="str">
        <x:v>Model Status</x:v>
      </x:c>
      <x:c r="B11" s="132" t="str">
        <x:f>'Checks'!F4</x:f>
        <x:v>OK</x:v>
      </x:c>
      <x:c r="C11" s="66"/>
      <x:c r="D11" s="70" t="str">
        <x:v>Caveat</x:v>
      </x:c>
      <x:c r="E11" s="70" t="str">
        <x:v>Simplified model built from available OpenDART/TS2000/KIS data; full sell-side segment backlog model is not included.</x:v>
      </x:c>
      <x:c r="F11" s="70"/>
      <x:c r="G11" s="70"/>
      <x:c r="H11" s="70"/>
    </x:row>
  </x:sheetData>
  <x:mergeCells>
    <x:mergeCell ref="A1:H2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</x:cols>
  <x:sheetData>
    <x:row r="1">
      <x:c r="A1" s="65" t="str">
        <x:v>Historical Financials | TS2000 Annual Actuals</x:v>
      </x:c>
      <x:c r="B1" s="65" t="str">
        <x:v>Historical Financials | TS2000 Annual Actuals</x:v>
      </x:c>
      <x:c r="C1" s="65" t="str">
        <x:v>Historical Financials | TS2000 Annual Actuals</x:v>
      </x:c>
      <x:c r="D1" s="65" t="str">
        <x:v>Historical Financials | TS2000 Annual Actuals</x:v>
      </x:c>
      <x:c r="E1" s="65" t="str">
        <x:v>Historical Financials | TS2000 Annual Actuals</x:v>
      </x:c>
      <x:c r="F1" s="65" t="str">
        <x:v>Historical Financials | TS2000 Annual Actuals</x:v>
      </x:c>
      <x:c r="G1" s="65" t="str">
        <x:v>Historical Financials | TS2000 Annual Actuals</x:v>
      </x:c>
      <x:c r="H1" s="65" t="str">
        <x:v>Historical Financials | TS2000 Annual Actuals</x:v>
      </x:c>
      <x:c r="I1" s="65" t="str">
        <x:v>Historical Financials | TS2000 Annual Actuals</x:v>
      </x:c>
      <x:c r="J1" s="65" t="str">
        <x:v>Historical Financials | TS2000 Annual Actuals</x:v>
      </x:c>
      <x:c r="K1" s="65" t="str">
        <x:v>Historical Financials | TS2000 Annual Actuals</x:v>
      </x:c>
      <x:c r="L1" s="65" t="str">
        <x:v>Historical Financials | TS2000 Annual Actuals</x:v>
      </x:c>
      <x:c r="M1" s="66"/>
      <x:c r="N1" s="66"/>
      <x:c r="O1" s="66"/>
      <x:c r="P1" s="66"/>
      <x:c r="Q1" s="66"/>
      <x:c r="R1" s="66"/>
      <x:c r="S1" s="66"/>
      <x:c r="T1" s="66"/>
      <x:c r="U1" s="66"/>
      <x:c r="V1" s="66"/>
      <x:c r="W1" s="66"/>
      <x:c r="X1" s="66"/>
      <x:c r="Y1" s="66"/>
      <x:c r="Z1" s="66"/>
      <x:c r="AA1" s="66"/>
    </x:row>
    <x:row r="2">
      <x:c r="A2" s="65" t="str">
        <x:v>Historical Financials | TS2000 Annual Actuals</x:v>
      </x:c>
      <x:c r="B2" s="65" t="str">
        <x:v>Historical Financials | TS2000 Annual Actuals</x:v>
      </x:c>
      <x:c r="C2" s="65" t="str">
        <x:v>Historical Financials | TS2000 Annual Actuals</x:v>
      </x:c>
      <x:c r="D2" s="65" t="str">
        <x:v>Historical Financials | TS2000 Annual Actuals</x:v>
      </x:c>
      <x:c r="E2" s="65" t="str">
        <x:v>Historical Financials | TS2000 Annual Actuals</x:v>
      </x:c>
      <x:c r="F2" s="65" t="str">
        <x:v>Historical Financials | TS2000 Annual Actuals</x:v>
      </x:c>
      <x:c r="G2" s="65" t="str">
        <x:v>Historical Financials | TS2000 Annual Actuals</x:v>
      </x:c>
      <x:c r="H2" s="65" t="str">
        <x:v>Historical Financials | TS2000 Annual Actuals</x:v>
      </x:c>
      <x:c r="I2" s="65" t="str">
        <x:v>Historical Financials | TS2000 Annual Actuals</x:v>
      </x:c>
      <x:c r="J2" s="65" t="str">
        <x:v>Historical Financials | TS2000 Annual Actuals</x:v>
      </x:c>
      <x:c r="K2" s="65" t="str">
        <x:v>Historical Financials | TS2000 Annual Actuals</x:v>
      </x:c>
      <x:c r="L2" s="65" t="str">
        <x:v>Historical Financials | TS2000 Annual Actuals</x:v>
      </x:c>
      <x:c r="M2" s="66"/>
      <x:c r="N2" s="66"/>
      <x:c r="O2" s="66"/>
      <x:c r="P2" s="66"/>
      <x:c r="Q2" s="66"/>
      <x:c r="R2" s="66"/>
      <x:c r="S2" s="66"/>
      <x:c r="T2" s="66"/>
      <x:c r="U2" s="66"/>
      <x:c r="V2" s="66"/>
      <x:c r="W2" s="66"/>
      <x:c r="X2" s="66"/>
      <x:c r="Y2" s="66"/>
      <x:c r="Z2" s="66"/>
      <x:c r="AA2" s="66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  <x:c r="O3" s="66"/>
      <x:c r="P3" s="66"/>
      <x:c r="Q3" s="66"/>
      <x:c r="R3" s="66"/>
      <x:c r="S3" s="66"/>
      <x:c r="T3" s="66"/>
      <x:c r="U3" s="66"/>
      <x:c r="V3" s="66"/>
      <x:c r="W3" s="66"/>
      <x:c r="X3" s="66"/>
      <x:c r="Y3" s="66"/>
      <x:c r="Z3" s="66"/>
      <x:c r="AA3" s="66"/>
    </x:row>
    <x:row r="4">
      <x:c r="A4" s="67" t="str">
        <x:v>Fiscal Year</x:v>
      </x:c>
      <x:c r="B4" s="67" t="str">
        <x:v>Revenue</x:v>
      </x:c>
      <x:c r="C4" s="67" t="str">
        <x:v>Operating Income</x:v>
      </x:c>
      <x:c r="D4" s="67" t="str">
        <x:v>Net Income</x:v>
      </x:c>
      <x:c r="E4" s="67" t="str">
        <x:v>Equity</x:v>
      </x:c>
      <x:c r="F4" s="67" t="str">
        <x:v>Shares</x:v>
      </x:c>
      <x:c r="G4" s="67" t="str">
        <x:v>Sales Growth</x:v>
      </x:c>
      <x:c r="H4" s="67" t="str">
        <x:v>OPM</x:v>
      </x:c>
      <x:c r="I4" s="67" t="str">
        <x:v>Net Margin</x:v>
      </x:c>
      <x:c r="J4" s="67" t="str">
        <x:v>ROE</x:v>
      </x:c>
      <x:c r="K4" s="67" t="str">
        <x:v>EPS</x:v>
      </x:c>
      <x:c r="L4" s="67" t="str">
        <x:v>BPS</x:v>
      </x:c>
      <x:c r="M4" s="66"/>
      <x:c r="N4" s="66"/>
      <x:c r="O4" s="66"/>
      <x:c r="P4" s="66"/>
      <x:c r="Q4" s="66"/>
      <x:c r="R4" s="66"/>
      <x:c r="S4" s="66"/>
      <x:c r="T4" s="66"/>
      <x:c r="U4" s="66"/>
      <x:c r="V4" s="66"/>
      <x:c r="W4" s="68" t="str">
        <x:f>A4</x:f>
        <x:v>Fiscal Year</x:v>
      </x:c>
      <x:c r="X4" s="69" t="str">
        <x:f>G4</x:f>
        <x:v>Sales Growth</x:v>
      </x:c>
      <x:c r="Y4" s="69" t="str">
        <x:f>H4</x:f>
        <x:v>OPM</x:v>
      </x:c>
      <x:c r="Z4" s="69" t="str">
        <x:f>I4</x:f>
        <x:v>Net Margin</x:v>
      </x:c>
      <x:c r="AA4" s="69" t="str">
        <x:f>J4</x:f>
        <x:v>ROE</x:v>
      </x:c>
    </x:row>
    <x:row r="5">
      <x:c r="A5" s="70" t="n">
        <x:v>2018</x:v>
      </x:c>
      <x:c r="B5" s="71" t="n">
        <x:v>19051.2</x:v>
      </x:c>
      <x:c r="C5" s="71" t="n">
        <x:v>1748.05721</x:v>
      </x:c>
      <x:c r="D5" s="71" t="n">
        <x:v>1193.93549</x:v>
      </x:c>
      <x:c r="E5" s="71" t="n">
        <x:v>12188.02904</x:v>
      </x:c>
      <x:c r="F5" s="71" t="n">
        <x:v>30000000</x:v>
      </x:c>
      <x:c r="G5" s="72" t="n">
        <x:v>0.054000000000000006</x:v>
      </x:c>
      <x:c r="H5" s="72" t="n">
        <x:v>0.09179999999999999</x:v>
      </x:c>
      <x:c r="I5" s="72" t="n">
        <x:v>0.06269999999999999</x:v>
      </x:c>
      <x:c r="J5" s="72" t="n">
        <x:v>0.1038</x:v>
      </x:c>
      <x:c r="K5" s="71" t="n">
        <x:f>D5*100000000/F5</x:f>
        <x:v>3979.7849666666666</x:v>
      </x:c>
      <x:c r="L5" s="71" t="n">
        <x:f>E5*100000000/F5</x:f>
        <x:v>40626.76346666666</x:v>
      </x:c>
      <x:c r="M5" s="66"/>
      <x:c r="N5" s="66"/>
      <x:c r="O5" s="66"/>
      <x:c r="P5" s="66"/>
      <x:c r="Q5" s="66"/>
      <x:c r="R5" s="66"/>
      <x:c r="S5" s="66"/>
      <x:c r="T5" s="66"/>
      <x:c r="U5" s="66"/>
      <x:c r="V5" s="66"/>
      <x:c r="W5" s="68" t="n">
        <x:f>A5</x:f>
        <x:v>2018</x:v>
      </x:c>
      <x:c r="X5" s="69" t="n">
        <x:f>G5</x:f>
        <x:v>0.054000000000000006</x:v>
      </x:c>
      <x:c r="Y5" s="69" t="n">
        <x:f>H5</x:f>
        <x:v>0.09179999999999999</x:v>
      </x:c>
      <x:c r="Z5" s="69" t="n">
        <x:f>I5</x:f>
        <x:v>0.06269999999999999</x:v>
      </x:c>
      <x:c r="AA5" s="69" t="n">
        <x:f>J5</x:f>
        <x:v>0.1038</x:v>
      </x:c>
    </x:row>
    <x:row r="6">
      <x:c r="A6" s="70" t="n">
        <x:v>2019</x:v>
      </x:c>
      <x:c r="B6" s="71" t="n">
        <x:v>18100.629</x:v>
      </x:c>
      <x:c r="C6" s="71" t="n">
        <x:v>1546.8311</x:v>
      </x:c>
      <x:c r="D6" s="71" t="n">
        <x:v>1093.61356</x:v>
      </x:c>
      <x:c r="E6" s="71" t="n">
        <x:v>12873.80059</x:v>
      </x:c>
      <x:c r="F6" s="71" t="n">
        <x:v>30000000</x:v>
      </x:c>
      <x:c r="G6" s="72" t="n">
        <x:v>-0.0499</x:v>
      </x:c>
      <x:c r="H6" s="72" t="n">
        <x:v>0.0855</x:v>
      </x:c>
      <x:c r="I6" s="72" t="n">
        <x:v>0.0604</x:v>
      </x:c>
      <x:c r="J6" s="72" t="n">
        <x:v>0.0873</x:v>
      </x:c>
      <x:c r="K6" s="71" t="n">
        <x:f>D6*100000000/F6</x:f>
        <x:v>3645.3785333333335</x:v>
      </x:c>
      <x:c r="L6" s="71" t="n">
        <x:f>E6*100000000/F6</x:f>
        <x:v>42912.668633333335</x:v>
      </x:c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8" t="n">
        <x:f>A6</x:f>
        <x:v>2019</x:v>
      </x:c>
      <x:c r="X6" s="69" t="n">
        <x:f>G6</x:f>
        <x:v>-0.0499</x:v>
      </x:c>
      <x:c r="Y6" s="69" t="n">
        <x:f>H6</x:f>
        <x:v>0.0855</x:v>
      </x:c>
      <x:c r="Z6" s="69" t="n">
        <x:f>I6</x:f>
        <x:v>0.0604</x:v>
      </x:c>
      <x:c r="AA6" s="69" t="n">
        <x:f>J6</x:f>
        <x:v>0.0873</x:v>
      </x:c>
    </x:row>
    <x:row r="7">
      <x:c r="A7" s="70" t="n">
        <x:v>2020</x:v>
      </x:c>
      <x:c r="B7" s="71" t="n">
        <x:v>18545.862</x:v>
      </x:c>
      <x:c r="C7" s="71" t="n">
        <x:v>1132.17221</x:v>
      </x:c>
      <x:c r="D7" s="71" t="n">
        <x:v>1062.02772</x:v>
      </x:c>
      <x:c r="E7" s="71" t="n">
        <x:v>13600.86275</x:v>
      </x:c>
      <x:c r="F7" s="71" t="n">
        <x:v>30000000</x:v>
      </x:c>
      <x:c r="G7" s="72" t="n">
        <x:v>0.0246</x:v>
      </x:c>
      <x:c r="H7" s="72" t="n">
        <x:v>0.061</x:v>
      </x:c>
      <x:c r="I7" s="72" t="n">
        <x:v>0.057300000000000004</x:v>
      </x:c>
      <x:c r="J7" s="72" t="n">
        <x:v>0.0802</x:v>
      </x:c>
      <x:c r="K7" s="71" t="n">
        <x:f>D7*100000000/F7</x:f>
        <x:v>3540.0924</x:v>
      </x:c>
      <x:c r="L7" s="71" t="n">
        <x:f>E7*100000000/F7</x:f>
        <x:v>45336.20916666667</x:v>
      </x:c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8" t="n">
        <x:f>A7</x:f>
        <x:v>2020</x:v>
      </x:c>
      <x:c r="X7" s="69" t="n">
        <x:f>G7</x:f>
        <x:v>0.0246</x:v>
      </x:c>
      <x:c r="Y7" s="69" t="n">
        <x:f>H7</x:f>
        <x:v>0.061</x:v>
      </x:c>
      <x:c r="Z7" s="69" t="n">
        <x:f>I7</x:f>
        <x:v>0.057300000000000004</x:v>
      </x:c>
      <x:c r="AA7" s="69" t="n">
        <x:f>J7</x:f>
        <x:v>0.0802</x:v>
      </x:c>
    </x:row>
    <x:row r="8">
      <x:c r="A8" s="70" t="n">
        <x:v>2021</x:v>
      </x:c>
      <x:c r="B8" s="71" t="n">
        <x:v>18774.48</x:v>
      </x:c>
      <x:c r="C8" s="71" t="n">
        <x:v>1146.54515</x:v>
      </x:c>
      <x:c r="D8" s="71" t="n">
        <x:v>710.12344</x:v>
      </x:c>
      <x:c r="E8" s="71" t="n">
        <x:v>14059.6122</x:v>
      </x:c>
      <x:c r="F8" s="71" t="n">
        <x:v>30000000</x:v>
      </x:c>
      <x:c r="G8" s="72" t="n">
        <x:v>0.0123</x:v>
      </x:c>
      <x:c r="H8" s="72" t="n">
        <x:v>0.0611</x:v>
      </x:c>
      <x:c r="I8" s="72" t="n">
        <x:v>0.0378</x:v>
      </x:c>
      <x:c r="J8" s="72" t="n">
        <x:v>0.0513</x:v>
      </x:c>
      <x:c r="K8" s="71" t="n">
        <x:f>D8*100000000/F8</x:f>
        <x:v>2367.0781333333334</x:v>
      </x:c>
      <x:c r="L8" s="71" t="n">
        <x:f>E8*100000000/F8</x:f>
        <x:v>46865.374</x:v>
      </x:c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8" t="n">
        <x:f>A8</x:f>
        <x:v>2021</x:v>
      </x:c>
      <x:c r="X8" s="69" t="n">
        <x:f>G8</x:f>
        <x:v>0.0123</x:v>
      </x:c>
      <x:c r="Y8" s="69" t="n">
        <x:f>H8</x:f>
        <x:v>0.0611</x:v>
      </x:c>
      <x:c r="Z8" s="69" t="n">
        <x:f>I8</x:f>
        <x:v>0.0378</x:v>
      </x:c>
      <x:c r="AA8" s="69" t="n">
        <x:f>J8</x:f>
        <x:v>0.0513</x:v>
      </x:c>
    </x:row>
    <x:row r="9">
      <x:c r="A9" s="70" t="n">
        <x:v>2022</x:v>
      </x:c>
      <x:c r="B9" s="71" t="n">
        <x:v>22834.734</x:v>
      </x:c>
      <x:c r="C9" s="71" t="n">
        <x:v>1381.75647</x:v>
      </x:c>
      <x:c r="D9" s="71" t="n">
        <x:v>674.16946</x:v>
      </x:c>
      <x:c r="E9" s="71" t="n">
        <x:v>14626.88659</x:v>
      </x:c>
      <x:c r="F9" s="71" t="n">
        <x:v>30000000</x:v>
      </x:c>
      <x:c r="G9" s="72" t="n">
        <x:v>0.2163</x:v>
      </x:c>
      <x:c r="H9" s="72" t="n">
        <x:v>0.0605</x:v>
      </x:c>
      <x:c r="I9" s="72" t="n">
        <x:v>0.029500000000000002</x:v>
      </x:c>
      <x:c r="J9" s="72" t="n">
        <x:v>0.047</x:v>
      </x:c>
      <x:c r="K9" s="71" t="n">
        <x:f>D9*100000000/F9</x:f>
        <x:v>2247.231533333333</x:v>
      </x:c>
      <x:c r="L9" s="71" t="n">
        <x:f>E9*100000000/F9</x:f>
        <x:v>48756.28863333333</x:v>
      </x:c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8" t="n">
        <x:f>A9</x:f>
        <x:v>2022</x:v>
      </x:c>
      <x:c r="X9" s="69" t="n">
        <x:f>G9</x:f>
        <x:v>0.2163</x:v>
      </x:c>
      <x:c r="Y9" s="69" t="n">
        <x:f>H9</x:f>
        <x:v>0.0605</x:v>
      </x:c>
      <x:c r="Z9" s="69" t="n">
        <x:f>I9</x:f>
        <x:v>0.029500000000000002</x:v>
      </x:c>
      <x:c r="AA9" s="69" t="n">
        <x:f>J9</x:f>
        <x:v>0.047</x:v>
      </x:c>
    </x:row>
    <x:row r="10">
      <x:c r="A10" s="70" t="n">
        <x:v>2023</x:v>
      </x:c>
      <x:c r="B10" s="71" t="n">
        <x:v>30043.062</x:v>
      </x:c>
      <x:c r="C10" s="71" t="n">
        <x:v>2784.38225</x:v>
      </x:c>
      <x:c r="D10" s="71" t="n">
        <x:v>2025.28052</x:v>
      </x:c>
      <x:c r="E10" s="71" t="n">
        <x:v>16283.53964</x:v>
      </x:c>
      <x:c r="F10" s="71" t="n">
        <x:v>30000000</x:v>
      </x:c>
      <x:c r="G10" s="72" t="n">
        <x:v>0.3157</x:v>
      </x:c>
      <x:c r="H10" s="72" t="n">
        <x:v>0.09269999999999999</x:v>
      </x:c>
      <x:c r="I10" s="72" t="n">
        <x:v>0.0674</x:v>
      </x:c>
      <x:c r="J10" s="72" t="n">
        <x:v>0.131</x:v>
      </x:c>
      <x:c r="K10" s="71" t="n">
        <x:f>D10*100000000/F10</x:f>
        <x:v>6750.935066666667</x:v>
      </x:c>
      <x:c r="L10" s="71" t="n">
        <x:f>E10*100000000/F10</x:f>
        <x:v>54278.46546666667</x:v>
      </x:c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8" t="n">
        <x:f>A10</x:f>
        <x:v>2023</x:v>
      </x:c>
      <x:c r="X10" s="69" t="n">
        <x:f>G10</x:f>
        <x:v>0.3157</x:v>
      </x:c>
      <x:c r="Y10" s="69" t="n">
        <x:f>H10</x:f>
        <x:v>0.09269999999999999</x:v>
      </x:c>
      <x:c r="Z10" s="69" t="n">
        <x:f>I10</x:f>
        <x:v>0.0674</x:v>
      </x:c>
      <x:c r="AA10" s="69" t="n">
        <x:f>J10</x:f>
        <x:v>0.131</x:v>
      </x:c>
    </x:row>
    <x:row r="11">
      <x:c r="A11" s="70" t="n">
        <x:v>2024</x:v>
      </x:c>
      <x:c r="B11" s="71" t="n">
        <x:v>31084.611</x:v>
      </x:c>
      <x:c r="C11" s="71" t="n">
        <x:v>3126.58386</x:v>
      </x:c>
      <x:c r="D11" s="71" t="n">
        <x:v>2133.82826</x:v>
      </x:c>
      <x:c r="E11" s="71" t="n">
        <x:v>17602.27413</x:v>
      </x:c>
      <x:c r="F11" s="71" t="n">
        <x:v>30000000</x:v>
      </x:c>
      <x:c r="G11" s="72" t="n">
        <x:v>0.0347</x:v>
      </x:c>
      <x:c r="H11" s="72" t="n">
        <x:v>0.10060000000000001</x:v>
      </x:c>
      <x:c r="I11" s="72" t="n">
        <x:v>0.06860000000000001</x:v>
      </x:c>
      <x:c r="J11" s="72" t="n">
        <x:v>0.1259</x:v>
      </x:c>
      <x:c r="K11" s="71" t="n">
        <x:f>D11*100000000/F11</x:f>
        <x:v>7112.760866666666</x:v>
      </x:c>
      <x:c r="L11" s="71" t="n">
        <x:f>E11*100000000/F11</x:f>
        <x:v>58674.24710000001</x:v>
      </x:c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8" t="n">
        <x:f>A11</x:f>
        <x:v>2024</x:v>
      </x:c>
      <x:c r="X11" s="69" t="n">
        <x:f>G11</x:f>
        <x:v>0.0347</x:v>
      </x:c>
      <x:c r="Y11" s="69" t="n">
        <x:f>H11</x:f>
        <x:v>0.10060000000000001</x:v>
      </x:c>
      <x:c r="Z11" s="69" t="n">
        <x:f>I11</x:f>
        <x:v>0.06860000000000001</x:v>
      </x:c>
      <x:c r="AA11" s="69" t="n">
        <x:f>J11</x:f>
        <x:v>0.1259</x:v>
      </x:c>
    </x:row>
    <x:row r="12">
      <x:c r="A12" s="70" t="n">
        <x:v>2025</x:v>
      </x:c>
      <x:c r="B12" s="71" t="n">
        <x:v>34627.413</x:v>
      </x:c>
      <x:c r="C12" s="71" t="n">
        <x:v>3621.9403</x:v>
      </x:c>
      <x:c r="D12" s="71" t="n">
        <x:v>2938.24766</x:v>
      </x:c>
      <x:c r="E12" s="71" t="n">
        <x:v>19869.11322</x:v>
      </x:c>
      <x:c r="F12" s="71" t="n">
        <x:v>30000000</x:v>
      </x:c>
      <x:c r="G12" s="72" t="n">
        <x:v>0.114</x:v>
      </x:c>
      <x:c r="H12" s="72" t="n">
        <x:v>0.10460000000000001</x:v>
      </x:c>
      <x:c r="I12" s="72" t="n">
        <x:v>0.0849</x:v>
      </x:c>
      <x:c r="J12" s="72" t="n">
        <x:v>0.1568</x:v>
      </x:c>
      <x:c r="K12" s="71" t="n">
        <x:f>D12*100000000/F12</x:f>
        <x:v>9794.158866666667</x:v>
      </x:c>
      <x:c r="L12" s="71" t="n">
        <x:f>E12*100000000/F12</x:f>
        <x:v>66230.3774</x:v>
      </x:c>
      <x:c r="M12" s="66"/>
      <x:c r="N12" s="66"/>
      <x:c r="O12" s="66"/>
      <x:c r="P12" s="66"/>
      <x:c r="Q12" s="66"/>
      <x:c r="R12" s="66"/>
      <x:c r="S12" s="66"/>
      <x:c r="T12" s="66"/>
      <x:c r="U12" s="66"/>
      <x:c r="V12" s="66"/>
      <x:c r="W12" s="68" t="n">
        <x:f>A12</x:f>
        <x:v>2025</x:v>
      </x:c>
      <x:c r="X12" s="69" t="n">
        <x:f>G12</x:f>
        <x:v>0.114</x:v>
      </x:c>
      <x:c r="Y12" s="69" t="n">
        <x:f>H12</x:f>
        <x:v>0.10460000000000001</x:v>
      </x:c>
      <x:c r="Z12" s="69" t="n">
        <x:f>I12</x:f>
        <x:v>0.0849</x:v>
      </x:c>
      <x:c r="AA12" s="69" t="n">
        <x:f>J12</x:f>
        <x:v>0.1568</x:v>
      </x:c>
    </x:row>
  </x:sheetData>
  <x:mergeCells>
    <x:mergeCell ref="A1:L2"/>
  </x:mergeCells>
  <x:pageMargins left="0.7" right="0.7" top="0.75" bottom="0.75" header="0.3" footer="0.3"/>
  <x:drawing xmlns:r="http://schemas.openxmlformats.org/officeDocument/2006/relationships" r:id="R82ca489caaab4308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65" t="str">
        <x:v>Forecast Model | Assumptions and Earnings Build</x:v>
      </x:c>
      <x:c r="B1" s="65" t="str">
        <x:v>Forecast Model | Assumptions and Earnings Build</x:v>
      </x:c>
      <x:c r="C1" s="65" t="str">
        <x:v>Forecast Model | Assumptions and Earnings Build</x:v>
      </x:c>
      <x:c r="D1" s="65" t="str">
        <x:v>Forecast Model | Assumptions and Earnings Build</x:v>
      </x:c>
      <x:c r="E1" s="65" t="str">
        <x:v>Forecast Model | Assumptions and Earnings Build</x:v>
      </x:c>
      <x:c r="F1" s="65" t="str">
        <x:v>Forecast Model | Assumptions and Earnings Build</x:v>
      </x:c>
    </x:row>
    <x:row r="2">
      <x:c r="A2" s="65" t="str">
        <x:v>Forecast Model | Assumptions and Earnings Build</x:v>
      </x:c>
      <x:c r="B2" s="65" t="str">
        <x:v>Forecast Model | Assumptions and Earnings Build</x:v>
      </x:c>
      <x:c r="C2" s="65" t="str">
        <x:v>Forecast Model | Assumptions and Earnings Build</x:v>
      </x:c>
      <x:c r="D2" s="65" t="str">
        <x:v>Forecast Model | Assumptions and Earnings Build</x:v>
      </x:c>
      <x:c r="E2" s="65" t="str">
        <x:v>Forecast Model | Assumptions and Earnings Build</x:v>
      </x:c>
      <x:c r="F2" s="65" t="str">
        <x:v>Forecast Model | Assumptions and Earnings Build</x:v>
      </x:c>
    </x:row>
    <x:row r="3">
      <x:c r="A3" s="66"/>
      <x:c r="B3" s="66"/>
      <x:c r="C3" s="66"/>
      <x:c r="D3" s="66"/>
      <x:c r="E3" s="66"/>
      <x:c r="F3" s="66"/>
    </x:row>
    <x:row r="4">
      <x:c r="A4" s="67" t="str">
        <x:v>Item</x:v>
      </x:c>
      <x:c r="B4" s="67" t="str">
        <x:v>2025A</x:v>
      </x:c>
      <x:c r="C4" s="67" t="str">
        <x:v>2026E</x:v>
      </x:c>
      <x:c r="D4" s="67" t="str">
        <x:v>2027E</x:v>
      </x:c>
      <x:c r="E4" s="67" t="str">
        <x:v>2028E</x:v>
      </x:c>
      <x:c r="F4" s="67" t="str">
        <x:v>Notes</x:v>
      </x:c>
    </x:row>
    <x:row r="5">
      <x:c r="A5" s="70" t="str">
        <x:v>Revenue</x:v>
      </x:c>
      <x:c r="B5" s="71" t="n">
        <x:v>49657.9855298</x:v>
      </x:c>
      <x:c r="C5" s="77" t="n">
        <x:f>B5*(1+C6)</x:f>
        <x:v>55616.943793376</x:v>
      </x:c>
      <x:c r="D5" s="77" t="n">
        <x:f>C5*(1+D6)</x:f>
        <x:v>60622.46873477984</x:v>
      </x:c>
      <x:c r="E5" s="77" t="n">
        <x:f>D5*(1+E6)</x:f>
        <x:v>64259.81685886663</x:v>
      </x:c>
      <x:c r="F5" s="70" t="str">
        <x:v>KRW 100mn; 2025A uses OpenDART CFS when available</x:v>
      </x:c>
    </x:row>
    <x:row r="6">
      <x:c r="A6" s="70" t="str">
        <x:v>Revenue Growth</x:v>
      </x:c>
      <x:c r="B6" s="72" t="n">
        <x:v>0.09094378325776953</x:v>
      </x:c>
      <x:c r="C6" s="78" t="n">
        <x:v>0.12</x:v>
      </x:c>
      <x:c r="D6" s="78" t="n">
        <x:v>0.09</x:v>
      </x:c>
      <x:c r="E6" s="78" t="n">
        <x:v>0.06</x:v>
      </x:c>
      <x:c r="F6" s="70" t="str">
        <x:v>User-editable growth assumptions</x:v>
      </x:c>
    </x:row>
    <x:row r="7">
      <x:c r="A7" s="70" t="str">
        <x:v>Operating Margin</x:v>
      </x:c>
      <x:c r="B7" s="72" t="n">
        <x:v>0.08586879601894261</x:v>
      </x:c>
      <x:c r="C7" s="78" t="n">
        <x:v>0.11</x:v>
      </x:c>
      <x:c r="D7" s="78" t="n">
        <x:v>0.113</x:v>
      </x:c>
      <x:c r="E7" s="78" t="n">
        <x:v>0.114</x:v>
      </x:c>
      <x:c r="F7" s="70" t="str">
        <x:v>Margin expansion from power infra mix</x:v>
      </x:c>
    </x:row>
    <x:row r="8">
      <x:c r="A8" s="70" t="str">
        <x:v>Operating Income</x:v>
      </x:c>
      <x:c r="B8" s="71" t="n">
        <x:v>4264.07143017</x:v>
      </x:c>
      <x:c r="C8" s="77" t="n">
        <x:f>C5*C7</x:f>
        <x:v>6117.86381727136</x:v>
      </x:c>
      <x:c r="D8" s="77" t="n">
        <x:f>D5*D7</x:f>
        <x:v>6850.338967030122</x:v>
      </x:c>
      <x:c r="E8" s="77" t="n">
        <x:f>E5*E7</x:f>
        <x:v>7325.619121910796</x:v>
      </x:c>
      <x:c r="F8" s="70" t="str">
        <x:v>Revenue x OPM</x:v>
      </x:c>
    </x:row>
    <x:row r="9">
      <x:c r="A9" s="70" t="str">
        <x:v>Net Margin</x:v>
      </x:c>
      <x:c r="B9" s="72" t="n">
        <x:v>0.05724290466865921</x:v>
      </x:c>
      <x:c r="C9" s="78" t="n">
        <x:v>0.086</x:v>
      </x:c>
      <x:c r="D9" s="78" t="n">
        <x:v>0.088</x:v>
      </x:c>
      <x:c r="E9" s="78" t="n">
        <x:v>0.088</x:v>
      </x:c>
      <x:c r="F9" s="70" t="str">
        <x:v>Below-OP leverage assumption</x:v>
      </x:c>
    </x:row>
    <x:row r="10">
      <x:c r="A10" s="70" t="str">
        <x:v>Net Income</x:v>
      </x:c>
      <x:c r="B10" s="72" t="n">
        <x:v>2842.56733172</x:v>
      </x:c>
      <x:c r="C10" s="79" t="n">
        <x:f>C5*C9</x:f>
        <x:v>4783.0571662303355</x:v>
      </x:c>
      <x:c r="D10" s="79" t="n">
        <x:f>D5*D9</x:f>
        <x:v>5334.777248660625</x:v>
      </x:c>
      <x:c r="E10" s="79" t="n">
        <x:f>E5*E9</x:f>
        <x:v>5654.863883580263</x:v>
      </x:c>
      <x:c r="F10" s="70" t="str">
        <x:v>Revenue x net margin</x:v>
      </x:c>
    </x:row>
    <x:row r="11">
      <x:c r="A11" s="70" t="str">
        <x:v>Payout Ratio</x:v>
      </x:c>
      <x:c r="B11" s="72"/>
      <x:c r="C11" s="78" t="n">
        <x:v>0.2</x:v>
      </x:c>
      <x:c r="D11" s="78" t="n">
        <x:v>0.2</x:v>
      </x:c>
      <x:c r="E11" s="78" t="n">
        <x:v>0.2</x:v>
      </x:c>
      <x:c r="F11" s="70" t="str">
        <x:v>Retained earnings roll-forward</x:v>
      </x:c>
    </x:row>
    <x:row r="12">
      <x:c r="A12" s="70" t="str">
        <x:v>Equity</x:v>
      </x:c>
      <x:c r="B12" s="71" t="n">
        <x:v>21412.98852376</x:v>
      </x:c>
      <x:c r="C12" s="77" t="n">
        <x:f>B12+C10*(1-C11)</x:f>
        <x:v>25239.43425674427</x:v>
      </x:c>
      <x:c r="D12" s="77" t="n">
        <x:f>C12+D10*(1-D11)</x:f>
        <x:v>29507.25605567277</x:v>
      </x:c>
      <x:c r="E12" s="77" t="n">
        <x:f>D12+E10*(1-E11)</x:f>
        <x:v>34031.14716253698</x:v>
      </x:c>
      <x:c r="F12" s="70" t="str">
        <x:v>Prior equity + retained earnings</x:v>
      </x:c>
    </x:row>
    <x:row r="13">
      <x:c r="A13" s="70" t="str">
        <x:v>Shares</x:v>
      </x:c>
      <x:c r="B13" s="71" t="n">
        <x:f>'Historical'!F12</x:f>
        <x:v>30000000</x:v>
      </x:c>
      <x:c r="C13" s="77" t="n">
        <x:f>'Historical'!F12</x:f>
        <x:v>30000000</x:v>
      </x:c>
      <x:c r="D13" s="77" t="n">
        <x:f>'Historical'!F12</x:f>
        <x:v>30000000</x:v>
      </x:c>
      <x:c r="E13" s="77" t="n">
        <x:f>'Historical'!F12</x:f>
        <x:v>30000000</x:v>
      </x:c>
      <x:c r="F13" s="70" t="str">
        <x:v>No buyback/issuance assumed</x:v>
      </x:c>
    </x:row>
    <x:row r="14">
      <x:c r="A14" s="70" t="str">
        <x:v>EPS</x:v>
      </x:c>
      <x:c r="B14" s="71" t="n">
        <x:v>9475.224439066667</x:v>
      </x:c>
      <x:c r="C14" s="77" t="n">
        <x:f>C10*100000000/C13</x:f>
        <x:v>15943.523887434452</x:v>
      </x:c>
      <x:c r="D14" s="77" t="n">
        <x:f>D10*100000000/D13</x:f>
        <x:v>17782.590828868753</x:v>
      </x:c>
      <x:c r="E14" s="77" t="n">
        <x:f>E10*100000000/E13</x:f>
        <x:v>18849.54627860088</x:v>
      </x:c>
      <x:c r="F14" s="70" t="str">
        <x:v>Net income / shares</x:v>
      </x:c>
    </x:row>
    <x:row r="15">
      <x:c r="A15" s="70" t="str">
        <x:v>BPS</x:v>
      </x:c>
      <x:c r="B15" s="71" t="n">
        <x:v>71376.62841253333</x:v>
      </x:c>
      <x:c r="C15" s="77" t="n">
        <x:f>C12*100000000/C13</x:f>
        <x:v>84131.44752248088</x:v>
      </x:c>
      <x:c r="D15" s="77" t="n">
        <x:f>D12*100000000/D13</x:f>
        <x:v>98357.5201855759</x:v>
      </x:c>
      <x:c r="E15" s="77" t="n">
        <x:f>E12*100000000/E13</x:f>
        <x:v>113437.15720845661</x:v>
      </x:c>
      <x:c r="F15" s="70" t="str">
        <x:v>Equity / shares</x:v>
      </x:c>
    </x:row>
    <x:row r="16">
      <x:c r="A16" s="70" t="str">
        <x:v>ROE</x:v>
      </x:c>
      <x:c r="B16" s="72" t="n">
        <x:v>0.1327496780080869</x:v>
      </x:c>
      <x:c r="C16" s="80" t="n">
        <x:f>C10/C12</x:f>
        <x:v>0.1895073050202085</x:v>
      </x:c>
      <x:c r="D16" s="80" t="n">
        <x:f>D10/D12</x:f>
        <x:v>0.18079543684425425</x:v>
      </x:c>
      <x:c r="E16" s="80" t="n">
        <x:f>E10/E12</x:f>
        <x:v>0.16616730128349572</x:v>
      </x:c>
      <x:c r="F16" s="70" t="str">
        <x:v>Net income / ending equity proxy</x:v>
      </x:c>
    </x:row>
    <x:row r="17">
      <x:c r="A17" s="70" t="str">
        <x:v>Cost of Equity</x:v>
      </x:c>
      <x:c r="B17" s="72"/>
      <x:c r="C17" s="78" t="n">
        <x:v>0.095</x:v>
      </x:c>
      <x:c r="D17" s="78" t="n">
        <x:v>0.095</x:v>
      </x:c>
      <x:c r="E17" s="78" t="n">
        <x:v>0.095</x:v>
      </x:c>
      <x:c r="F17" s="70" t="str">
        <x:v>Risk-free + equity risk premium judgment</x:v>
      </x:c>
    </x:row>
    <x:row r="18">
      <x:c r="A18" s="70" t="str">
        <x:v>Terminal Growth</x:v>
      </x:c>
      <x:c r="B18" s="72"/>
      <x:c r="C18" s="78" t="n">
        <x:v>0.025</x:v>
      </x:c>
      <x:c r="D18" s="78" t="n">
        <x:v>0.025</x:v>
      </x:c>
      <x:c r="E18" s="78" t="n">
        <x:v>0.025</x:v>
      </x:c>
      <x:c r="F18" s="70" t="str">
        <x:v>Long-run nominal growth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65" t="str">
        <x:v>Peer Comps | Power Equipment / Holding Company Snapshot</x:v>
      </x:c>
      <x:c r="B1" s="65" t="str">
        <x:v>Peer Comps | Power Equipment / Holding Company Snapshot</x:v>
      </x:c>
      <x:c r="C1" s="65" t="str">
        <x:v>Peer Comps | Power Equipment / Holding Company Snapshot</x:v>
      </x:c>
      <x:c r="D1" s="65" t="str">
        <x:v>Peer Comps | Power Equipment / Holding Company Snapshot</x:v>
      </x:c>
      <x:c r="E1" s="65" t="str">
        <x:v>Peer Comps | Power Equipment / Holding Company Snapshot</x:v>
      </x:c>
      <x:c r="F1" s="65" t="str">
        <x:v>Peer Comps | Power Equipment / Holding Company Snapshot</x:v>
      </x:c>
      <x:c r="G1" s="65" t="str">
        <x:v>Peer Comps | Power Equipment / Holding Company Snapshot</x:v>
      </x:c>
      <x:c r="H1" s="65" t="str">
        <x:v>Peer Comps | Power Equipment / Holding Company Snapshot</x:v>
      </x:c>
      <x:c r="I1" s="65" t="str">
        <x:v>Peer Comps | Power Equipment / Holding Company Snapshot</x:v>
      </x:c>
      <x:c r="J1" s="65" t="str">
        <x:v>Peer Comps | Power Equipment / Holding Company Snapshot</x:v>
      </x:c>
      <x:c r="K1" s="65" t="str">
        <x:v>Peer Comps | Power Equipment / Holding Company Snapshot</x:v>
      </x:c>
      <x:c r="L1" s="66"/>
      <x:c r="M1" s="66"/>
      <x:c r="N1" s="66"/>
    </x:row>
    <x:row r="2">
      <x:c r="A2" s="65" t="str">
        <x:v>Peer Comps | Power Equipment / Holding Company Snapshot</x:v>
      </x:c>
      <x:c r="B2" s="65" t="str">
        <x:v>Peer Comps | Power Equipment / Holding Company Snapshot</x:v>
      </x:c>
      <x:c r="C2" s="65" t="str">
        <x:v>Peer Comps | Power Equipment / Holding Company Snapshot</x:v>
      </x:c>
      <x:c r="D2" s="65" t="str">
        <x:v>Peer Comps | Power Equipment / Holding Company Snapshot</x:v>
      </x:c>
      <x:c r="E2" s="65" t="str">
        <x:v>Peer Comps | Power Equipment / Holding Company Snapshot</x:v>
      </x:c>
      <x:c r="F2" s="65" t="str">
        <x:v>Peer Comps | Power Equipment / Holding Company Snapshot</x:v>
      </x:c>
      <x:c r="G2" s="65" t="str">
        <x:v>Peer Comps | Power Equipment / Holding Company Snapshot</x:v>
      </x:c>
      <x:c r="H2" s="65" t="str">
        <x:v>Peer Comps | Power Equipment / Holding Company Snapshot</x:v>
      </x:c>
      <x:c r="I2" s="65" t="str">
        <x:v>Peer Comps | Power Equipment / Holding Company Snapshot</x:v>
      </x:c>
      <x:c r="J2" s="65" t="str">
        <x:v>Peer Comps | Power Equipment / Holding Company Snapshot</x:v>
      </x:c>
      <x:c r="K2" s="65" t="str">
        <x:v>Peer Comps | Power Equipment / Holding Company Snapshot</x:v>
      </x:c>
      <x:c r="L2" s="66"/>
      <x:c r="M2" s="66"/>
      <x:c r="N2" s="66"/>
    </x:row>
    <x:row r="3">
      <x:c r="A3" s="66"/>
      <x:c r="B3" s="66"/>
      <x:c r="C3" s="66"/>
      <x:c r="D3" s="66"/>
      <x:c r="E3" s="66"/>
      <x:c r="F3" s="66"/>
      <x:c r="G3" s="66"/>
      <x:c r="H3" s="66"/>
      <x:c r="I3" s="66"/>
      <x:c r="J3" s="66"/>
      <x:c r="K3" s="66"/>
      <x:c r="L3" s="66"/>
      <x:c r="M3" s="66"/>
      <x:c r="N3" s="66"/>
    </x:row>
    <x:row r="4">
      <x:c r="A4" s="67" t="str">
        <x:v>Ticker</x:v>
      </x:c>
      <x:c r="B4" s="67" t="str">
        <x:v>Company</x:v>
      </x:c>
      <x:c r="C4" s="67" t="str">
        <x:v>Revenue (tn)</x:v>
      </x:c>
      <x:c r="D4" s="67" t="str">
        <x:v>OPM</x:v>
      </x:c>
      <x:c r="E4" s="67" t="str">
        <x:v>ROE</x:v>
      </x:c>
      <x:c r="F4" s="67" t="str">
        <x:v>Price</x:v>
      </x:c>
      <x:c r="G4" s="67" t="str">
        <x:v>EPS</x:v>
      </x:c>
      <x:c r="H4" s="67" t="str">
        <x:v>BPS</x:v>
      </x:c>
      <x:c r="I4" s="67" t="str">
        <x:v>PER</x:v>
      </x:c>
      <x:c r="J4" s="67" t="str">
        <x:v>PBR</x:v>
      </x:c>
      <x:c r="K4" s="67" t="str">
        <x:v>Sales Growth</x:v>
      </x:c>
      <x:c r="L4" s="66"/>
      <x:c r="M4" s="66"/>
      <x:c r="N4" s="66"/>
    </x:row>
    <x:row r="5">
      <x:c r="A5" s="85" t="str">
        <x:v>010120 </x:v>
      </x:c>
      <x:c r="B5" s="70" t="str">
        <x:v>LS ELECTRIC</x:v>
      </x:c>
      <x:c r="C5" s="86" t="n">
        <x:v>3.4627413</x:v>
      </x:c>
      <x:c r="D5" s="72" t="n">
        <x:v>0.10460000000000001</x:v>
      </x:c>
      <x:c r="E5" s="72" t="n">
        <x:v>0.1568</x:v>
      </x:c>
      <x:c r="F5" s="71" t="n">
        <x:v>238000</x:v>
      </x:c>
      <x:c r="G5" s="71" t="n">
        <x:v>9794.158866666667</x:v>
      </x:c>
      <x:c r="H5" s="71" t="n">
        <x:v>66230.3774</x:v>
      </x:c>
      <x:c r="I5" s="87" t="n">
        <x:v>24.30019803027768</x:v>
      </x:c>
      <x:c r="J5" s="87" t="n">
        <x:v>3.593517194724607</x:v>
      </x:c>
      <x:c r="K5" s="72" t="n">
        <x:v>0.114</x:v>
      </x:c>
      <x:c r="L5" s="66"/>
      <x:c r="M5" s="66"/>
      <x:c r="N5" s="66"/>
    </x:row>
    <x:row r="6">
      <x:c r="A6" s="85" t="str">
        <x:v>267260 </x:v>
      </x:c>
      <x:c r="B6" s="70" t="str">
        <x:v>HD현대일렉트릭</x:v>
      </x:c>
      <x:c r="C6" s="86" t="n">
        <x:v>3.38113943600355</x:v>
      </x:c>
      <x:c r="D6" s="72" t="n">
        <x:v>0.263</x:v>
      </x:c>
      <x:c r="E6" s="72" t="n">
        <x:v>0.39159999999999995</x:v>
      </x:c>
      <x:c r="F6" s="71" t="n">
        <x:v>972000</x:v>
      </x:c>
      <x:c r="G6" s="71" t="n">
        <x:v>17655.727396920727</x:v>
      </x:c>
      <x:c r="H6" s="71" t="n">
        <x:v>51071.014575776964</x:v>
      </x:c>
      <x:c r="I6" s="87" t="n">
        <x:v>55.052956932803745</x:v>
      </x:c>
      <x:c r="J6" s="87" t="n">
        <x:v>19.03232211214031</x:v>
      </x:c>
      <x:c r="K6" s="72" t="n">
        <x:v>0.1295</x:v>
      </x:c>
      <x:c r="L6" s="66"/>
      <x:c r="M6" s="66"/>
      <x:c r="N6" s="66"/>
    </x:row>
    <x:row r="7">
      <x:c r="A7" s="85" t="str">
        <x:v>298040 </x:v>
      </x:c>
      <x:c r="B7" s="70" t="str">
        <x:v>효성중공업</x:v>
      </x:c>
      <x:c r="C7" s="86" t="n">
        <x:v>4.09781397874768</x:v>
      </x:c>
      <x:c r="D7" s="72" t="n">
        <x:v>0.10800000000000001</x:v>
      </x:c>
      <x:c r="E7" s="72" t="n">
        <x:v>0.1386</x:v>
      </x:c>
      <x:c r="F7" s="71" t="n">
        <x:v>3438000</x:v>
      </x:c>
      <x:c r="G7" s="71" t="n">
        <x:v>29439.639004485794</x:v>
      </x:c>
      <x:c r="H7" s="71" t="n">
        <x:v>223349.7663371994</x:v>
      </x:c>
      <x:c r="I7" s="87" t="n">
        <x:v>116.7813232857965</x:v>
      </x:c>
      <x:c r="J7" s="87" t="n">
        <x:v>15.392897231911693</x:v>
      </x:c>
      <x:c r="K7" s="72" t="n">
        <x:v>0.2195</x:v>
      </x:c>
      <x:c r="L7" s="66"/>
      <x:c r="M7" s="66"/>
      <x:c r="N7" s="66"/>
    </x:row>
    <x:row r="8">
      <x:c r="A8" s="85" t="str">
        <x:v>006260 </x:v>
      </x:c>
      <x:c r="B8" s="70" t="str">
        <x:v>LS</x:v>
      </x:c>
      <x:c r="C8" s="86" t="n">
        <x:v>0.391683932</x:v>
      </x:c>
      <x:c r="D8" s="72" t="n">
        <x:v>0.7918000000000001</x:v>
      </x:c>
      <x:c r="E8" s="72" t="n">
        <x:v>0.0583</x:v>
      </x:c>
      <x:c r="F8" s="71" t="n">
        <x:v>365500</x:v>
      </x:c>
      <x:c r="G8" s="71" t="n">
        <x:v>8693.943217665616</x:v>
      </x:c>
      <x:c r="H8" s="71" t="n">
        <x:v>155728.8643533123</x:v>
      </x:c>
      <x:c r="I8" s="87" t="n">
        <x:v>42.04076226968265</x:v>
      </x:c>
      <x:c r="J8" s="87" t="n">
        <x:v>2.347027967601216</x:v>
      </x:c>
      <x:c r="K8" s="72" t="n">
        <x:v>0.1699</x:v>
      </x:c>
      <x:c r="L8" s="66"/>
      <x:c r="M8" s="66"/>
      <x:c r="N8" s="66"/>
    </x:row>
    <x:row r="9">
      <x:c r="A9" s="66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</x:row>
    <x:row r="10">
      <x:c r="A10" s="66"/>
      <x:c r="B10" s="66"/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</x:row>
    <x:row r="11">
      <x:c r="A11" s="66"/>
      <x:c r="B11" s="66"/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</x:row>
    <x:row r="12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</x:row>
    <x:row r="13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</x:row>
    <x:row r="14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</x:row>
    <x:row r="15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</x:row>
    <x:row r="16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</x:row>
    <x:row r="17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</x:row>
    <x:row r="18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</x:row>
    <x:row r="19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</x:row>
    <x:row r="20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</x:row>
    <x:row r="2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</x:row>
    <x:row r="22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</x:row>
    <x:row r="23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</x:row>
    <x:row r="24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 t="str">
        <x:f>B4</x:f>
        <x:v>Company</x:v>
      </x:c>
      <x:c r="N24" s="66" t="str">
        <x:f>I4</x:f>
        <x:v>PER</x:v>
      </x:c>
    </x:row>
    <x:row r="25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 t="str">
        <x:f>B5</x:f>
        <x:v>LS ELECTRIC</x:v>
      </x:c>
      <x:c r="N25" s="88" t="n">
        <x:f>I5</x:f>
        <x:v>24.30019803027768</x:v>
      </x:c>
    </x:row>
    <x:row r="26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 t="str">
        <x:f>B6</x:f>
        <x:v>HD현대일렉트릭</x:v>
      </x:c>
      <x:c r="N26" s="88" t="n">
        <x:f>I6</x:f>
        <x:v>55.052956932803745</x:v>
      </x:c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 t="str">
        <x:f>B7</x:f>
        <x:v>효성중공업</x:v>
      </x:c>
      <x:c r="N27" s="88" t="n">
        <x:f>I7</x:f>
        <x:v>116.7813232857965</x:v>
      </x:c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 t="str">
        <x:f>B8</x:f>
        <x:v>LS</x:v>
      </x:c>
      <x:c r="N28" s="88" t="n">
        <x:f>I8</x:f>
        <x:v>42.04076226968265</x:v>
      </x:c>
    </x:row>
  </x:sheetData>
  <x:mergeCells>
    <x:mergeCell ref="A1:K2"/>
  </x:mergeCells>
  <x:pageMargins left="0.7" right="0.7" top="0.75" bottom="0.75" header="0.3" footer="0.3"/>
  <x:drawing xmlns:r="http://schemas.openxmlformats.org/officeDocument/2006/relationships" r:id="Rac1487f715ac4e6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0" hidden="0" customWidth="1"/>
  </x:cols>
  <x:sheetData>
    <x:row r="1">
      <x:c r="A1" s="65" t="str">
        <x:v>Valuation | PER, PBR and FCFE Proxy DCF Triangulation</x:v>
      </x:c>
      <x:c r="B1" s="65" t="str">
        <x:v>Valuation | PER, PBR and FCFE Proxy DCF Triangulation</x:v>
      </x:c>
      <x:c r="C1" s="65" t="str">
        <x:v>Valuation | PER, PBR and FCFE Proxy DCF Triangulation</x:v>
      </x:c>
      <x:c r="D1" s="65" t="str">
        <x:v>Valuation | PER, PBR and FCFE Proxy DCF Triangulation</x:v>
      </x:c>
      <x:c r="E1" s="65" t="str">
        <x:v>Valuation | PER, PBR and FCFE Proxy DCF Triangulation</x:v>
      </x:c>
      <x:c r="F1" s="65" t="str">
        <x:v>Valuation | PER, PBR and FCFE Proxy DCF Triangulation</x:v>
      </x:c>
      <x:c r="G1" s="65" t="str">
        <x:v>Valuation | PER, PBR and FCFE Proxy DCF Triangulation</x:v>
      </x:c>
    </x:row>
    <x:row r="2">
      <x:c r="A2" s="65" t="str">
        <x:v>Valuation | PER, PBR and FCFE Proxy DCF Triangulation</x:v>
      </x:c>
      <x:c r="B2" s="65" t="str">
        <x:v>Valuation | PER, PBR and FCFE Proxy DCF Triangulation</x:v>
      </x:c>
      <x:c r="C2" s="65" t="str">
        <x:v>Valuation | PER, PBR and FCFE Proxy DCF Triangulation</x:v>
      </x:c>
      <x:c r="D2" s="65" t="str">
        <x:v>Valuation | PER, PBR and FCFE Proxy DCF Triangulation</x:v>
      </x:c>
      <x:c r="E2" s="65" t="str">
        <x:v>Valuation | PER, PBR and FCFE Proxy DCF Triangulation</x:v>
      </x:c>
      <x:c r="F2" s="65" t="str">
        <x:v>Valuation | PER, PBR and FCFE Proxy DCF Triangulation</x:v>
      </x:c>
      <x:c r="G2" s="65" t="str">
        <x:v>Valuation | PER, PBR and FCFE Proxy DCF Triangulation</x:v>
      </x:c>
    </x:row>
    <x:row r="3">
      <x:c r="A3" s="66"/>
      <x:c r="B3" s="66"/>
      <x:c r="C3" s="66"/>
      <x:c r="D3" s="66"/>
      <x:c r="E3" s="66"/>
      <x:c r="F3" s="66"/>
      <x:c r="G3" s="66"/>
    </x:row>
    <x:row r="4">
      <x:c r="A4" s="67" t="str">
        <x:v>Method</x:v>
      </x:c>
      <x:c r="B4" s="67" t="str">
        <x:v>Driver</x:v>
      </x:c>
      <x:c r="C4" s="67" t="str">
        <x:v>Assumption</x:v>
      </x:c>
      <x:c r="D4" s="67" t="str">
        <x:v>Weight</x:v>
      </x:c>
      <x:c r="E4" s="67" t="str">
        <x:v>Value / Share</x:v>
      </x:c>
      <x:c r="F4" s="67" t="str">
        <x:v>Weighted Value</x:v>
      </x:c>
      <x:c r="G4" s="66"/>
    </x:row>
    <x:row r="5">
      <x:c r="A5" s="70" t="str">
        <x:v>PER</x:v>
      </x:c>
      <x:c r="B5" s="71" t="n">
        <x:f>'Forecast'!C14</x:f>
        <x:v>15943.523887434452</x:v>
      </x:c>
      <x:c r="C5" s="97" t="n">
        <x:v>27</x:v>
      </x:c>
      <x:c r="D5" s="78" t="n">
        <x:v>0.6</x:v>
      </x:c>
      <x:c r="E5" s="71" t="n">
        <x:f>B5*C5</x:f>
        <x:v>430475.1449607302</x:v>
      </x:c>
      <x:c r="F5" s="70" t="n">
        <x:f>E5*D5</x:f>
        <x:v>258285.08697643812</x:v>
      </x:c>
      <x:c r="G5" s="66"/>
    </x:row>
    <x:row r="6">
      <x:c r="A6" s="70" t="str">
        <x:v>PBR</x:v>
      </x:c>
      <x:c r="B6" s="71" t="n">
        <x:f>'Forecast'!C15</x:f>
        <x:v>84131.44752248088</x:v>
      </x:c>
      <x:c r="C6" s="97" t="n">
        <x:v>4.2</x:v>
      </x:c>
      <x:c r="D6" s="78" t="n">
        <x:v>0.25</x:v>
      </x:c>
      <x:c r="E6" s="71" t="n">
        <x:f>B6*C6</x:f>
        <x:v>353352.07959441975</x:v>
      </x:c>
      <x:c r="F6" s="70" t="n">
        <x:f>E6*D6</x:f>
        <x:v>88338.01989860494</x:v>
      </x:c>
      <x:c r="G6" s="66"/>
    </x:row>
    <x:row r="7">
      <x:c r="A7" s="70" t="str">
        <x:v>DCF Proxy</x:v>
      </x:c>
      <x:c r="B7" s="70" t="n">
        <x:f>'Valuation'!F24</x:f>
        <x:v>208257.8639064085</x:v>
      </x:c>
      <x:c r="C7" s="98"/>
      <x:c r="D7" s="78" t="n">
        <x:v>0.15</x:v>
      </x:c>
      <x:c r="E7" s="71" t="n">
        <x:f>'Valuation'!F24</x:f>
        <x:v>208257.8639064085</x:v>
      </x:c>
      <x:c r="F7" s="70" t="n">
        <x:f>E7*D7</x:f>
        <x:v>31238.679585961272</x:v>
      </x:c>
      <x:c r="G7" s="66"/>
    </x:row>
    <x:row r="8">
      <x:c r="A8" s="70" t="str">
        <x:v>Fair Value</x:v>
      </x:c>
      <x:c r="B8" s="70"/>
      <x:c r="C8" s="71"/>
      <x:c r="D8" s="71"/>
      <x:c r="E8" s="71"/>
      <x:c r="F8" s="99" t="n">
        <x:f>SUM(F5:F7)</x:f>
        <x:v>377861.78646100435</x:v>
      </x:c>
      <x:c r="G8" s="66"/>
    </x:row>
    <x:row r="9">
      <x:c r="A9" s="66"/>
      <x:c r="B9" s="66"/>
      <x:c r="C9" s="66"/>
      <x:c r="D9" s="66"/>
      <x:c r="E9" s="66"/>
      <x:c r="F9" s="66"/>
      <x:c r="G9" s="66"/>
    </x:row>
    <x:row r="10">
      <x:c r="A10" s="66"/>
      <x:c r="B10" s="66"/>
      <x:c r="C10" s="66"/>
      <x:c r="D10" s="66"/>
      <x:c r="E10" s="66"/>
      <x:c r="F10" s="66"/>
      <x:c r="G10" s="66"/>
    </x:row>
    <x:row r="11">
      <x:c r="A11" s="100" t="str">
        <x:v>Target Price Build</x:v>
      </x:c>
      <x:c r="B11" s="100"/>
      <x:c r="C11" s="100"/>
      <x:c r="D11" s="100"/>
      <x:c r="E11" s="100"/>
      <x:c r="F11" s="100"/>
      <x:c r="G11" s="66"/>
    </x:row>
    <x:row r="12">
      <x:c r="A12" s="101" t="str">
        <x:v>Fair Value</x:v>
      </x:c>
      <x:c r="B12" s="101"/>
      <x:c r="C12" s="101"/>
      <x:c r="D12" s="101"/>
      <x:c r="E12" s="101"/>
      <x:c r="F12" s="102" t="n">
        <x:f>F8</x:f>
        <x:v>377861.78646100435</x:v>
      </x:c>
      <x:c r="G12" s="66"/>
    </x:row>
    <x:row r="13">
      <x:c r="A13" s="101" t="str">
        <x:v>Rounding Unit</x:v>
      </x:c>
      <x:c r="B13" s="101"/>
      <x:c r="C13" s="101"/>
      <x:c r="D13" s="101"/>
      <x:c r="E13" s="101"/>
      <x:c r="F13" s="102" t="n">
        <x:v>10000</x:v>
      </x:c>
      <x:c r="G13" s="66"/>
    </x:row>
    <x:row r="14">
      <x:c r="A14" s="101" t="str">
        <x:v>Target Price</x:v>
      </x:c>
      <x:c r="B14" s="101"/>
      <x:c r="C14" s="101"/>
      <x:c r="D14" s="101"/>
      <x:c r="E14" s="101"/>
      <x:c r="F14" s="103" t="n">
        <x:f>ROUND(F12/F13,0)*F13</x:f>
        <x:v>380000</x:v>
      </x:c>
      <x:c r="G14" s="66"/>
    </x:row>
    <x:row r="15">
      <x:c r="A15" s="101" t="str">
        <x:v>Upside</x:v>
      </x:c>
      <x:c r="B15" s="101"/>
      <x:c r="C15" s="101"/>
      <x:c r="D15" s="101"/>
      <x:c r="E15" s="101"/>
      <x:c r="F15" s="104" t="n">
        <x:f>F14/238000-1</x:f>
        <x:v>0.596638655462185</x:v>
      </x:c>
      <x:c r="G15" s="66"/>
    </x:row>
    <x:row r="16">
      <x:c r="A16" s="66"/>
      <x:c r="B16" s="66"/>
      <x:c r="C16" s="66"/>
      <x:c r="D16" s="66"/>
      <x:c r="E16" s="66"/>
      <x:c r="F16" s="66"/>
      <x:c r="G16" s="66"/>
    </x:row>
    <x:row r="17">
      <x:c r="A17" s="66"/>
      <x:c r="B17" s="66"/>
      <x:c r="C17" s="66"/>
      <x:c r="D17" s="66"/>
      <x:c r="E17" s="66"/>
      <x:c r="F17" s="66"/>
      <x:c r="G17" s="66"/>
    </x:row>
    <x:row r="18">
      <x:c r="A18" s="67" t="str">
        <x:v>DCF Proxy</x:v>
      </x:c>
      <x:c r="B18" s="67" t="str">
        <x:v>2026E</x:v>
      </x:c>
      <x:c r="C18" s="67" t="str">
        <x:v>2027E</x:v>
      </x:c>
      <x:c r="D18" s="67" t="str">
        <x:v>2028E</x:v>
      </x:c>
      <x:c r="E18" s="67" t="str">
        <x:v>Terminal</x:v>
      </x:c>
      <x:c r="F18" s="67" t="str">
        <x:v>Per Share</x:v>
      </x:c>
      <x:c r="G18" s="66"/>
    </x:row>
    <x:row r="19">
      <x:c r="A19" s="70" t="str">
        <x:v>Net Income</x:v>
      </x:c>
      <x:c r="B19" s="71" t="n">
        <x:f>'Forecast'!C10</x:f>
        <x:v>4783.0571662303355</x:v>
      </x:c>
      <x:c r="C19" s="71" t="n">
        <x:f>'Forecast'!D10</x:f>
        <x:v>5334.777248660625</x:v>
      </x:c>
      <x:c r="D19" s="71" t="n">
        <x:f>'Forecast'!E10</x:f>
        <x:v>5654.863883580263</x:v>
      </x:c>
      <x:c r="E19" s="71"/>
      <x:c r="F19" s="70"/>
      <x:c r="G19" s="66"/>
    </x:row>
    <x:row r="20">
      <x:c r="A20" s="70" t="str">
        <x:v>FCFE Conversion</x:v>
      </x:c>
      <x:c r="B20" s="98" t="n">
        <x:v>0.82</x:v>
      </x:c>
      <x:c r="C20" s="98" t="n">
        <x:v>0.82</x:v>
      </x:c>
      <x:c r="D20" s="98" t="n">
        <x:v>0.82</x:v>
      </x:c>
      <x:c r="E20" s="71"/>
      <x:c r="F20" s="70"/>
      <x:c r="G20" s="66"/>
    </x:row>
    <x:row r="21">
      <x:c r="A21" s="70" t="str">
        <x:v>FCFE</x:v>
      </x:c>
      <x:c r="B21" s="71" t="n">
        <x:f>B19*B20</x:f>
        <x:v>3922.1068763088747</x:v>
      </x:c>
      <x:c r="C21" s="71" t="n">
        <x:f>C19*C20</x:f>
        <x:v>4374.517343901713</x:v>
      </x:c>
      <x:c r="D21" s="71" t="n">
        <x:f>D19*D20</x:f>
        <x:v>4636.988384535815</x:v>
      </x:c>
      <x:c r="E21" s="71" t="n">
        <x:f>D21*(1+'Forecast'!E18)/('Forecast'!E17-'Forecast'!E18)</x:f>
        <x:v>67898.75848784586</x:v>
      </x:c>
      <x:c r="F21" s="70"/>
      <x:c r="G21" s="66"/>
    </x:row>
    <x:row r="22">
      <x:c r="A22" s="70" t="str">
        <x:v>Discount Factor</x:v>
      </x:c>
      <x:c r="B22" s="71" t="n">
        <x:f>1/(1+'Forecast'!C17)^1</x:f>
        <x:v>0.9132420091324202</x:v>
      </x:c>
      <x:c r="C22" s="71" t="n">
        <x:f>1/(1+'Forecast'!D17)^2</x:f>
        <x:v>0.8340109672442193</x:v>
      </x:c>
      <x:c r="D22" s="71" t="n">
        <x:f>1/(1+'Forecast'!E17)^3</x:f>
        <x:v>0.7616538513645839</x:v>
      </x:c>
      <x:c r="E22" s="71"/>
      <x:c r="F22" s="70"/>
      <x:c r="G22" s="66"/>
    </x:row>
    <x:row r="23">
      <x:c r="A23" s="70" t="str">
        <x:v>PV FCFE</x:v>
      </x:c>
      <x:c r="B23" s="71" t="n">
        <x:f>B21*B22</x:f>
        <x:v>3581.832763752397</x:v>
      </x:c>
      <x:c r="C23" s="71" t="n">
        <x:f>C21*C22</x:f>
        <x:v>3648.3954412140806</x:v>
      </x:c>
      <x:c r="D23" s="71" t="n">
        <x:f>D21*D22</x:f>
        <x:v>3531.780061814544</x:v>
      </x:c>
      <x:c r="E23" s="71" t="n">
        <x:f>E21*D22</x:f>
        <x:v>51715.350905141524</x:v>
      </x:c>
      <x:c r="F23" s="70"/>
      <x:c r="G23" s="66"/>
    </x:row>
    <x:row r="24">
      <x:c r="A24" s="70" t="str">
        <x:v>Equity Value / Share</x:v>
      </x:c>
      <x:c r="B24" s="70"/>
      <x:c r="C24" s="70"/>
      <x:c r="D24" s="70"/>
      <x:c r="E24" s="70"/>
      <x:c r="F24" s="71" t="n">
        <x:f>SUM(B23:E23)*100000000/'Forecast'!E13</x:f>
        <x:v>208257.8639064085</x:v>
      </x:c>
      <x:c r="G24" s="66"/>
    </x:row>
  </x:sheetData>
  <x:mergeCells>
    <x:mergeCell ref="A1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</x:cols>
  <x:sheetData>
    <x:row r="1">
      <x:c r="A1" s="65" t="str">
        <x:v>Sensitivity | Target PER x EPS Case</x:v>
      </x:c>
      <x:c r="B1" s="65" t="str">
        <x:v>Sensitivity | Target PER x EPS Case</x:v>
      </x:c>
      <x:c r="C1" s="65" t="str">
        <x:v>Sensitivity | Target PER x EPS Case</x:v>
      </x:c>
      <x:c r="D1" s="65" t="str">
        <x:v>Sensitivity | Target PER x EPS Case</x:v>
      </x:c>
      <x:c r="E1" s="65" t="str">
        <x:v>Sensitivity | Target PER x EPS Case</x:v>
      </x:c>
      <x:c r="F1" s="65" t="str">
        <x:v>Sensitivity | Target PER x EPS Case</x:v>
      </x:c>
      <x:c r="G1" s="65" t="str">
        <x:v>Sensitivity | Target PER x EPS Case</x:v>
      </x:c>
    </x:row>
    <x:row r="2">
      <x:c r="A2" s="65" t="str">
        <x:v>Sensitivity | Target PER x EPS Case</x:v>
      </x:c>
      <x:c r="B2" s="65" t="str">
        <x:v>Sensitivity | Target PER x EPS Case</x:v>
      </x:c>
      <x:c r="C2" s="65" t="str">
        <x:v>Sensitivity | Target PER x EPS Case</x:v>
      </x:c>
      <x:c r="D2" s="65" t="str">
        <x:v>Sensitivity | Target PER x EPS Case</x:v>
      </x:c>
      <x:c r="E2" s="65" t="str">
        <x:v>Sensitivity | Target PER x EPS Case</x:v>
      </x:c>
      <x:c r="F2" s="65" t="str">
        <x:v>Sensitivity | Target PER x EPS Case</x:v>
      </x:c>
      <x:c r="G2" s="65" t="str">
        <x:v>Sensitivity | Target PER x EPS Case</x:v>
      </x:c>
    </x:row>
    <x:row r="3">
      <x:c r="A3" s="66"/>
      <x:c r="B3" s="66"/>
      <x:c r="C3" s="66"/>
      <x:c r="D3" s="66"/>
      <x:c r="E3" s="66"/>
      <x:c r="F3" s="66"/>
      <x:c r="G3" s="66"/>
    </x:row>
    <x:row r="4">
      <x:c r="A4" s="67" t="str">
        <x:v>2026E EPS \ Target PER</x:v>
      </x:c>
      <x:c r="B4" s="67" t="n">
        <x:v>23</x:v>
      </x:c>
      <x:c r="C4" s="67" t="n">
        <x:v>25</x:v>
      </x:c>
      <x:c r="D4" s="67" t="n">
        <x:v>27</x:v>
      </x:c>
      <x:c r="E4" s="67" t="n">
        <x:v>29</x:v>
      </x:c>
      <x:c r="F4" s="67" t="n">
        <x:v>31</x:v>
      </x:c>
      <x:c r="G4" s="67" t="str">
        <x:v>Interpretation</x:v>
      </x:c>
    </x:row>
    <x:row r="5">
      <x:c r="A5" s="106" t="n">
        <x:v>0.9</x:v>
      </x:c>
      <x:c r="B5" s="71" t="n">
        <x:f>ROUND(('Forecast'!$C$14*$A5)*B$4/10000,0)*10000</x:f>
        <x:v>330000</x:v>
      </x:c>
      <x:c r="C5" s="71" t="n">
        <x:f>ROUND(('Forecast'!$C$14*$A5)*C$4/10000,0)*10000</x:f>
        <x:v>360000</x:v>
      </x:c>
      <x:c r="D5" s="71" t="n">
        <x:f>ROUND(('Forecast'!$C$14*$A5)*D$4/10000,0)*10000</x:f>
        <x:v>390000</x:v>
      </x:c>
      <x:c r="E5" s="71" t="n">
        <x:f>ROUND(('Forecast'!$C$14*$A5)*E$4/10000,0)*10000</x:f>
        <x:v>420000</x:v>
      </x:c>
      <x:c r="F5" s="71" t="n">
        <x:f>ROUND(('Forecast'!$C$14*$A5)*F$4/10000,0)*10000</x:f>
        <x:v>440000</x:v>
      </x:c>
      <x:c r="G5" s="70" t="str">
        <x:v>EPS bear case</x:v>
      </x:c>
    </x:row>
    <x:row r="6">
      <x:c r="A6" s="106" t="n">
        <x:v>0.95</x:v>
      </x:c>
      <x:c r="B6" s="71" t="n">
        <x:f>ROUND(('Forecast'!$C$14*$A6)*B$4/10000,0)*10000</x:f>
        <x:v>350000</x:v>
      </x:c>
      <x:c r="C6" s="71" t="n">
        <x:f>ROUND(('Forecast'!$C$14*$A6)*C$4/10000,0)*10000</x:f>
        <x:v>380000</x:v>
      </x:c>
      <x:c r="D6" s="71" t="n">
        <x:f>ROUND(('Forecast'!$C$14*$A6)*D$4/10000,0)*10000</x:f>
        <x:v>410000</x:v>
      </x:c>
      <x:c r="E6" s="71" t="n">
        <x:f>ROUND(('Forecast'!$C$14*$A6)*E$4/10000,0)*10000</x:f>
        <x:v>440000</x:v>
      </x:c>
      <x:c r="F6" s="71" t="n">
        <x:f>ROUND(('Forecast'!$C$14*$A6)*F$4/10000,0)*10000</x:f>
        <x:v>470000</x:v>
      </x:c>
      <x:c r="G6" s="70" t="str">
        <x:v>Mild downside</x:v>
      </x:c>
    </x:row>
    <x:row r="7">
      <x:c r="A7" s="106" t="n">
        <x:v>1</x:v>
      </x:c>
      <x:c r="B7" s="71" t="n">
        <x:f>ROUND(('Forecast'!$C$14*$A7)*B$4/10000,0)*10000</x:f>
        <x:v>370000</x:v>
      </x:c>
      <x:c r="C7" s="71" t="n">
        <x:f>ROUND(('Forecast'!$C$14*$A7)*C$4/10000,0)*10000</x:f>
        <x:v>400000</x:v>
      </x:c>
      <x:c r="D7" s="71" t="n">
        <x:f>ROUND(('Forecast'!$C$14*$A7)*D$4/10000,0)*10000</x:f>
        <x:v>430000</x:v>
      </x:c>
      <x:c r="E7" s="71" t="n">
        <x:f>ROUND(('Forecast'!$C$14*$A7)*E$4/10000,0)*10000</x:f>
        <x:v>460000</x:v>
      </x:c>
      <x:c r="F7" s="71" t="n">
        <x:f>ROUND(('Forecast'!$C$14*$A7)*F$4/10000,0)*10000</x:f>
        <x:v>490000</x:v>
      </x:c>
      <x:c r="G7" s="70" t="str">
        <x:v>Base case</x:v>
      </x:c>
    </x:row>
    <x:row r="8">
      <x:c r="A8" s="106" t="n">
        <x:v>1.05</x:v>
      </x:c>
      <x:c r="B8" s="71" t="n">
        <x:f>ROUND(('Forecast'!$C$14*$A8)*B$4/10000,0)*10000</x:f>
        <x:v>390000</x:v>
      </x:c>
      <x:c r="C8" s="71" t="n">
        <x:f>ROUND(('Forecast'!$C$14*$A8)*C$4/10000,0)*10000</x:f>
        <x:v>420000</x:v>
      </x:c>
      <x:c r="D8" s="71" t="n">
        <x:f>ROUND(('Forecast'!$C$14*$A8)*D$4/10000,0)*10000</x:f>
        <x:v>450000</x:v>
      </x:c>
      <x:c r="E8" s="71" t="n">
        <x:f>ROUND(('Forecast'!$C$14*$A8)*E$4/10000,0)*10000</x:f>
        <x:v>490000</x:v>
      </x:c>
      <x:c r="F8" s="71" t="n">
        <x:f>ROUND(('Forecast'!$C$14*$A8)*F$4/10000,0)*10000</x:f>
        <x:v>520000</x:v>
      </x:c>
      <x:c r="G8" s="70" t="str">
        <x:v>Mild upside</x:v>
      </x:c>
    </x:row>
    <x:row r="9">
      <x:c r="A9" s="106" t="n">
        <x:v>1.1</x:v>
      </x:c>
      <x:c r="B9" s="71" t="n">
        <x:f>ROUND(('Forecast'!$C$14*$A9)*B$4/10000,0)*10000</x:f>
        <x:v>400000</x:v>
      </x:c>
      <x:c r="C9" s="71" t="n">
        <x:f>ROUND(('Forecast'!$C$14*$A9)*C$4/10000,0)*10000</x:f>
        <x:v>440000</x:v>
      </x:c>
      <x:c r="D9" s="71" t="n">
        <x:f>ROUND(('Forecast'!$C$14*$A9)*D$4/10000,0)*10000</x:f>
        <x:v>470000</x:v>
      </x:c>
      <x:c r="E9" s="71" t="n">
        <x:f>ROUND(('Forecast'!$C$14*$A9)*E$4/10000,0)*10000</x:f>
        <x:v>510000</x:v>
      </x:c>
      <x:c r="F9" s="71" t="n">
        <x:f>ROUND(('Forecast'!$C$14*$A9)*F$4/10000,0)*10000</x:f>
        <x:v>540000</x:v>
      </x:c>
      <x:c r="G9" s="70" t="str">
        <x:v>EPS upside case</x:v>
      </x:c>
    </x:row>
  </x:sheetData>
  <x:mergeCells>
    <x:mergeCell ref="A1:G2"/>
  </x:mergeCells>
  <x:pageMargins left="0.7" right="0.7" top="0.75" bottom="0.75" header="0.3" footer="0.3"/>
  <x:drawing xmlns:r="http://schemas.openxmlformats.org/officeDocument/2006/relationships" r:id="R65903d2b587c407b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4" hidden="0" customWidth="1"/>
  </x:cols>
  <x:sheetData>
    <x:row r="1">
      <x:c r="A1" s="65" t="str">
        <x:v>Checks | Model Integrity and Audit Items</x:v>
      </x:c>
      <x:c r="B1" s="65" t="str">
        <x:v>Checks | Model Integrity and Audit Items</x:v>
      </x:c>
      <x:c r="C1" s="65" t="str">
        <x:v>Checks | Model Integrity and Audit Items</x:v>
      </x:c>
      <x:c r="D1" s="65" t="str">
        <x:v>Checks | Model Integrity and Audit Items</x:v>
      </x:c>
      <x:c r="E1" s="65" t="str">
        <x:v>Checks | Model Integrity and Audit Items</x:v>
      </x:c>
      <x:c r="F1" s="65" t="str">
        <x:v>Checks | Model Integrity and Audit Items</x:v>
      </x:c>
      <x:c r="G1" s="65" t="str">
        <x:v>Checks | Model Integrity and Audit Items</x:v>
      </x:c>
    </x:row>
    <x:row r="2">
      <x:c r="A2" s="65" t="str">
        <x:v>Checks | Model Integrity and Audit Items</x:v>
      </x:c>
      <x:c r="B2" s="65" t="str">
        <x:v>Checks | Model Integrity and Audit Items</x:v>
      </x:c>
      <x:c r="C2" s="65" t="str">
        <x:v>Checks | Model Integrity and Audit Items</x:v>
      </x:c>
      <x:c r="D2" s="65" t="str">
        <x:v>Checks | Model Integrity and Audit Items</x:v>
      </x:c>
      <x:c r="E2" s="65" t="str">
        <x:v>Checks | Model Integrity and Audit Items</x:v>
      </x:c>
      <x:c r="F2" s="65" t="str">
        <x:v>Checks | Model Integrity and Audit Items</x:v>
      </x:c>
      <x:c r="G2" s="65" t="str">
        <x:v>Checks | Model Integrity and Audit Items</x:v>
      </x:c>
    </x:row>
    <x:row r="3">
      <x:c r="A3" s="66"/>
      <x:c r="B3" s="66"/>
      <x:c r="C3" s="66"/>
      <x:c r="D3" s="66"/>
      <x:c r="E3" s="66"/>
      <x:c r="F3" s="66"/>
      <x:c r="G3" s="66"/>
    </x:row>
    <x:row r="4">
      <x:c r="A4" s="67" t="str">
        <x:v>Check</x:v>
      </x:c>
      <x:c r="B4" s="67" t="str">
        <x:v>Location</x:v>
      </x:c>
      <x:c r="C4" s="67" t="str">
        <x:v>Actual</x:v>
      </x:c>
      <x:c r="D4" s="67" t="str">
        <x:v>Expected</x:v>
      </x:c>
      <x:c r="E4" s="67" t="str">
        <x:v>Difference</x:v>
      </x:c>
      <x:c r="F4" s="67" t="str">
        <x:f>F10</x:f>
        <x:v>OK</x:v>
      </x:c>
      <x:c r="G4" s="67" t="str">
        <x:v>Notes</x:v>
      </x:c>
    </x:row>
    <x:row r="5">
      <x:c r="A5" s="70" t="str">
        <x:v>Target price tie-out</x:v>
      </x:c>
      <x:c r="B5" s="70" t="str">
        <x:v>Valuation!F14</x:v>
      </x:c>
      <x:c r="C5" s="71" t="n">
        <x:f>'Valuation'!F14</x:f>
        <x:v>380000</x:v>
      </x:c>
      <x:c r="D5" s="71" t="n">
        <x:f>ROUND('Valuation'!F8/'Valuation'!F13,0)*'Valuation'!F13</x:f>
        <x:v>380000</x:v>
      </x:c>
      <x:c r="E5" s="71" t="n">
        <x:f>C5-D5</x:f>
        <x:v>0</x:v>
      </x:c>
      <x:c r="F5" s="108" t="str">
        <x:f>IF(ABS(E5)&lt;1,"OK","Review")</x:f>
        <x:v>OK</x:v>
      </x:c>
      <x:c r="G5" s="70" t="str">
        <x:v>Rounded target equals rounded fair value</x:v>
      </x:c>
    </x:row>
    <x:row r="6">
      <x:c r="A6" s="70" t="str">
        <x:v>DCF positive</x:v>
      </x:c>
      <x:c r="B6" s="70" t="str">
        <x:v>Valuation!F24</x:v>
      </x:c>
      <x:c r="C6" s="71" t="n">
        <x:f>'Valuation'!F24</x:f>
        <x:v>208257.8639064085</x:v>
      </x:c>
      <x:c r="D6" s="71" t="n">
        <x:v>0</x:v>
      </x:c>
      <x:c r="E6" s="71" t="n">
        <x:f>C6-D6</x:f>
        <x:v>208257.8639064085</x:v>
      </x:c>
      <x:c r="F6" s="108" t="str">
        <x:f>IF(C6&gt;D6,"OK","Review")</x:f>
        <x:v>OK</x:v>
      </x:c>
      <x:c r="G6" s="70" t="str">
        <x:v>Equity value/share should be positive</x:v>
      </x:c>
    </x:row>
    <x:row r="7">
      <x:c r="A7" s="70" t="str">
        <x:v>Forecast revenue grows</x:v>
      </x:c>
      <x:c r="B7" s="70" t="str">
        <x:v>Forecast!C5:E5</x:v>
      </x:c>
      <x:c r="C7" s="71" t="n">
        <x:f>'Forecast'!E5</x:f>
        <x:v>64259.81685886663</x:v>
      </x:c>
      <x:c r="D7" s="71" t="n">
        <x:f>'Forecast'!B5</x:f>
        <x:v>49657.9855298</x:v>
      </x:c>
      <x:c r="E7" s="71" t="n">
        <x:f>C7-D7</x:f>
        <x:v>14601.831329066634</x:v>
      </x:c>
      <x:c r="F7" s="108" t="str">
        <x:f>IF(C7&gt;D7,"OK","Review")</x:f>
        <x:v>OK</x:v>
      </x:c>
      <x:c r="G7" s="70" t="str">
        <x:v>2028E revenue above 2025A</x:v>
      </x:c>
    </x:row>
    <x:row r="8">
      <x:c r="A8" s="70" t="str">
        <x:v>Source data present</x:v>
      </x:c>
      <x:c r="B8" s="70" t="str">
        <x:v>Historical!A5:L12</x:v>
      </x:c>
      <x:c r="C8" s="70" t="n">
        <x:v>8</x:v>
      </x:c>
      <x:c r="D8" s="70" t="n">
        <x:v>8</x:v>
      </x:c>
      <x:c r="E8" s="70" t="n">
        <x:f>C8-D8</x:f>
        <x:v>0</x:v>
      </x:c>
      <x:c r="F8" s="108" t="str">
        <x:f>IF(E8=0,"OK","Review")</x:f>
        <x:v>OK</x:v>
      </x:c>
      <x:c r="G8" s="70" t="str">
        <x:v>Eight annual observations imported</x:v>
      </x:c>
    </x:row>
    <x:row r="9">
      <x:c r="A9" s="70" t="str">
        <x:v>Upside supports BUY</x:v>
      </x:c>
      <x:c r="B9" s="70" t="str">
        <x:v>Valuation!F15</x:v>
      </x:c>
      <x:c r="C9" s="72" t="n">
        <x:f>'Valuation'!F15</x:f>
        <x:v>0.596638655462185</x:v>
      </x:c>
      <x:c r="D9" s="72" t="n">
        <x:v>0.15</x:v>
      </x:c>
      <x:c r="E9" s="72" t="n">
        <x:f>C9-D9</x:f>
        <x:v>0.44663865546218495</x:v>
      </x:c>
      <x:c r="F9" s="108" t="str">
        <x:f>IF(C9&gt;=D9,"OK","Review")</x:f>
        <x:v>OK</x:v>
      </x:c>
      <x:c r="G9" s="70" t="str">
        <x:v>Internal rating threshold</x:v>
      </x:c>
    </x:row>
    <x:row r="10">
      <x:c r="A10" s="70" t="str">
        <x:v>Overall model status</x:v>
      </x:c>
      <x:c r="B10" s="70" t="str">
        <x:v>Checks!F5:F9</x:v>
      </x:c>
      <x:c r="C10" s="70"/>
      <x:c r="D10" s="70"/>
      <x:c r="E10" s="70"/>
      <x:c r="F10" s="108" t="str">
        <x:f>IF(COUNTIF(F5:F9,"Review")=0,"OK","Review")</x:f>
        <x:v>OK</x:v>
      </x:c>
      <x:c r="G10" s="70" t="str">
        <x:v>Aggregates checks above</x:v>
      </x:c>
    </x:row>
  </x:sheetData>
  <x:mergeCells>
    <x:mergeCell ref="A1:G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28" hidden="0" customWidth="1"/>
    <x:col min="5" max="5" width="58" hidden="0" customWidth="1"/>
  </x:cols>
  <x:sheetData>
    <x:row r="1">
      <x:c r="A1" s="65" t="str">
        <x:v>Sources and Audit Trail</x:v>
      </x:c>
      <x:c r="B1" s="65" t="str">
        <x:v>Sources and Audit Trail</x:v>
      </x:c>
      <x:c r="C1" s="65" t="str">
        <x:v>Sources and Audit Trail</x:v>
      </x:c>
      <x:c r="D1" s="65" t="str">
        <x:v>Sources and Audit Trail</x:v>
      </x:c>
      <x:c r="E1" s="65" t="str">
        <x:v>Sources and Audit Trail</x:v>
      </x:c>
    </x:row>
    <x:row r="2">
      <x:c r="A2" s="65" t="str">
        <x:v>Sources and Audit Trail</x:v>
      </x:c>
      <x:c r="B2" s="65" t="str">
        <x:v>Sources and Audit Trail</x:v>
      </x:c>
      <x:c r="C2" s="65" t="str">
        <x:v>Sources and Audit Trail</x:v>
      </x:c>
      <x:c r="D2" s="65" t="str">
        <x:v>Sources and Audit Trail</x:v>
      </x:c>
      <x:c r="E2" s="65" t="str">
        <x:v>Sources and Audit Trail</x:v>
      </x:c>
    </x:row>
    <x:row r="3">
      <x:c r="A3" s="66"/>
      <x:c r="B3" s="66"/>
      <x:c r="C3" s="66"/>
      <x:c r="D3" s="66"/>
      <x:c r="E3" s="66"/>
    </x:row>
    <x:row r="4">
      <x:c r="A4" s="67" t="str">
        <x:v>Item</x:v>
      </x:c>
      <x:c r="B4" s="67" t="str">
        <x:v>Period / As-of</x:v>
      </x:c>
      <x:c r="C4" s="67" t="str">
        <x:v>Value</x:v>
      </x:c>
      <x:c r="D4" s="67" t="str">
        <x:v>Source</x:v>
      </x:c>
      <x:c r="E4" s="67" t="str">
        <x:v>Notes</x:v>
      </x:c>
    </x:row>
    <x:row r="5">
      <x:c r="A5" s="70" t="str">
        <x:v>OpenDART connected accounts</x:v>
      </x:c>
      <x:c r="B5" s="70" t="str">
        <x:v>2025A / 2026Q1</x:v>
      </x:c>
      <x:c r="C5" s="70" t="str">
        <x:v>CFS revenue/OP/NI/equity</x:v>
      </x:c>
      <x:c r="D5" s="70" t="str">
        <x:v>data/raw/dart/ls_electric/single_accounts.csv</x:v>
      </x:c>
      <x:c r="E5" s="70" t="str">
        <x:v>Valuation base uses consolidated financial statements</x:v>
      </x:c>
    </x:row>
    <x:row r="6">
      <x:c r="A6" s="70" t="str">
        <x:v>OpenDART disclosure text</x:v>
      </x:c>
      <x:c r="B6" s="70" t="str">
        <x:v>2026.03 quarterly report</x:v>
      </x:c>
      <x:c r="C6" s="70" t="str">
        <x:v>Business/risk/order snippets</x:v>
      </x:c>
      <x:c r="D6" s="70" t="str">
        <x:v>data/raw/dart/ls_electric/latest_report_text.txt</x:v>
      </x:c>
      <x:c r="E6" s="70" t="str">
        <x:v>Used for report narrative and DART disclosure check</x:v>
      </x:c>
    </x:row>
    <x:row r="7">
      <x:c r="A7" s="70" t="str">
        <x:v>Historical financials</x:v>
      </x:c>
      <x:c r="B7" s="70" t="str">
        <x:v>2018A-2025A</x:v>
      </x:c>
      <x:c r="C7" s="70" t="str">
        <x:v>Revenue/OP/NI/Equity/Shares</x:v>
      </x:c>
      <x:c r="D7" s="70" t="str">
        <x:v>data/raw/ts2000/fundamentals_long.csv</x:v>
      </x:c>
      <x:c r="E7" s="70" t="str">
        <x:v>Local TS2000 dataset in 2026 하반기 project</x:v>
      </x:c>
    </x:row>
    <x:row r="8">
      <x:c r="A8" s="70" t="str">
        <x:v>Current price</x:v>
      </x:c>
      <x:c r="B8" s="70" t="str">
        <x:v>2026-06-30</x:v>
      </x:c>
      <x:c r="C8" s="71" t="n">
        <x:v>238000</x:v>
      </x:c>
      <x:c r="D8" s="70" t="str">
        <x:v>data/raw/price/prices_2007_2026.csv</x:v>
      </x:c>
      <x:c r="E8" s="70" t="str">
        <x:v>KIS API price history, adjusted close</x:v>
      </x:c>
    </x:row>
    <x:row r="9">
      <x:c r="A9" s="70" t="str">
        <x:v>Quant signal</x:v>
      </x:c>
      <x:c r="B9" s="70" t="str">
        <x:v>2026-06-30</x:v>
      </x:c>
      <x:c r="C9" s="110" t="n">
        <x:v>0.4514345480121875</x:v>
      </x:c>
      <x:c r="D9" s="70" t="str">
        <x:v>data/features/institutional_core_satellite_scores.csv</x:v>
      </x:c>
      <x:c r="E9" s="70" t="str">
        <x:v>Internal KOSPI200 factor model</x:v>
      </x:c>
    </x:row>
    <x:row r="10">
      <x:c r="A10" s="70" t="str">
        <x:v>Peer comps</x:v>
      </x:c>
      <x:c r="B10" s="70" t="str">
        <x:v>2026-06-30</x:v>
      </x:c>
      <x:c r="C10" s="70" t="str">
        <x:v>010120 / 267260 / 298040 / 006260</x:v>
      </x:c>
      <x:c r="D10" s="70" t="str">
        <x:v>TS2000 + KIS price data</x:v>
      </x:c>
      <x:c r="E10" s="70" t="str">
        <x:v>Peer set chosen for electrical equipment and group comparison</x:v>
      </x:c>
    </x:row>
    <x:row r="11">
      <x:c r="A11" s="70" t="str">
        <x:v>Forecast assumptions</x:v>
      </x:c>
      <x:c r="B11" s="70" t="str">
        <x:v>2026E-2028E</x:v>
      </x:c>
      <x:c r="C11" s="70" t="str">
        <x:v>Growth/margin/payout/COE/TGR</x:v>
      </x:c>
      <x:c r="D11" s="70" t="str">
        <x:v>Analyst judgment</x:v>
      </x:c>
      <x:c r="E11" s="70" t="str">
        <x:v>Editable blue/yellow cells on Forecast and Valuation sheets</x:v>
      </x:c>
    </x:row>
  </x:sheetData>
  <x:mergeCells>
    <x:mergeCell ref="A1:E2"/>
  </x:mergeCells>
  <x:pageMargins left="0.7" right="0.7" top="0.75" bottom="0.75" header="0.3" footer="0.3"/>
</x:worksheet>
</file>